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-in" sheetId="1" state="visible" r:id="rId1"/>
    <sheet name="Uitleg check-in" sheetId="2" state="visible" r:id="rId2"/>
  </sheets>
  <definedNames>
    <definedName name="_xlnm._FilterDatabase" localSheetId="0" hidden="1">'Check-in'!$A$4:$O$404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€ #,##0.00"/>
    <numFmt numFmtId="165" formatCode="€ #,##0.00;-€ #,##0.00;-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</font>
    <font>
      <name val="Arial"/>
      <b val="1"/>
      <color rgb="00FFFFFF"/>
    </font>
    <font>
      <name val="Arial"/>
      <sz val="10"/>
    </font>
    <font>
      <name val="Arial"/>
      <sz val="11"/>
    </font>
  </fonts>
  <fills count="6">
    <fill>
      <patternFill/>
    </fill>
    <fill>
      <patternFill patternType="gray125"/>
    </fill>
    <fill>
      <patternFill patternType="solid">
        <fgColor rgb="000D181B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3" borderId="1" pivotButton="0" quotePrefix="0" xfId="0"/>
    <xf numFmtId="0" fontId="5" fillId="4" borderId="1" pivotButton="0" quotePrefix="0" xfId="0"/>
    <xf numFmtId="166" fontId="5" fillId="3" borderId="1" pivotButton="0" quotePrefix="0" xfId="0"/>
    <xf numFmtId="0" fontId="5" fillId="5" borderId="1" pivotButton="0" quotePrefix="0" xfId="0"/>
    <xf numFmtId="165" fontId="5" fillId="3" borderId="1" pivotButton="0" quotePrefix="0" xfId="0"/>
    <xf numFmtId="0" fontId="5" fillId="0" borderId="1" pivotButton="0" quotePrefix="0" xfId="0"/>
    <xf numFmtId="166" fontId="5" fillId="0" borderId="1" pivotButton="0" quotePrefix="0" xfId="0"/>
    <xf numFmtId="165" fontId="5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Lars</author>
  </authors>
  <commentList>
    <comment ref="K4" authorId="0" shapeId="0">
      <text>
        <t>Alleen als iemand korting heeft betaald maar niet echt verkleed is: de helft van zijn of haar deel. Baanprijs €37,50 per uur (weekend, dubbelbaan, Playtomic), gedeeld door 4, daarvan de helft = €37,50 × duur / 8.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7" customWidth="1" min="3" max="3"/>
    <col width="24" customWidth="1" min="4" max="4"/>
    <col width="15" customWidth="1" min="5" max="5"/>
    <col width="20" customWidth="1" min="6" max="6"/>
    <col width="8" customWidth="1" min="7" max="7"/>
    <col width="12" customWidth="1" min="8" max="8"/>
    <col width="10" customWidth="1" min="9" max="9"/>
    <col width="11" customWidth="1" min="10" max="10"/>
    <col width="12" customWidth="1" min="11" max="11"/>
    <col width="13" customWidth="1" min="12" max="12"/>
    <col width="26" customWidth="1" min="13" max="13"/>
    <col width="16" customWidth="1" min="14" max="14"/>
    <col width="13" customWidth="1" min="15" max="15"/>
  </cols>
  <sheetData>
    <row r="1">
      <c r="A1" s="1" t="inlineStr">
        <is>
          <t>Halloween Padel Special · check-in · zaterdag 31 oktober 2026, 16:00 tot 23:00</t>
        </is>
      </c>
      <c r="M1" s="2" t="inlineStr">
        <is>
          <t>Totaal bij te betalen</t>
        </is>
      </c>
      <c r="N1" s="3">
        <f>SUM(K5:K404)</f>
        <v/>
      </c>
    </row>
    <row r="2">
      <c r="A2" s="4" t="inlineStr">
        <is>
          <t>Geel = vult Lars in na de boeking (baannummer, de spelers horen dit pas bij de check-in). Blauw = vult de check-in in op de dag. Wit = komt uit de betaling. Grijs = voorbeeld, mag weg.</t>
        </is>
      </c>
      <c r="M2" s="2" t="inlineStr">
        <is>
          <t>Spelers ingecheckt</t>
        </is>
      </c>
      <c r="N2" s="2">
        <f>COUNTIF(I5:I404,"ja")</f>
        <v/>
      </c>
    </row>
    <row r="4" ht="32" customHeight="1">
      <c r="A4" s="5" t="inlineStr">
        <is>
          <t>Starttijd</t>
        </is>
      </c>
      <c r="B4" s="5" t="inlineStr">
        <is>
          <t>Eindtijd</t>
        </is>
      </c>
      <c r="C4" s="5" t="inlineStr">
        <is>
          <t>Baan</t>
        </is>
      </c>
      <c r="D4" s="5" t="inlineStr">
        <is>
          <t>Boeker</t>
        </is>
      </c>
      <c r="E4" s="5" t="inlineStr">
        <is>
          <t>Telefoon boeker</t>
        </is>
      </c>
      <c r="F4" s="5" t="inlineStr">
        <is>
          <t>Speler</t>
        </is>
      </c>
      <c r="G4" s="5" t="inlineStr">
        <is>
          <t>Duur (uur)</t>
        </is>
      </c>
      <c r="H4" s="5" t="inlineStr">
        <is>
          <t>Korting betaald (verkleed)</t>
        </is>
      </c>
      <c r="I4" s="5" t="inlineStr">
        <is>
          <t>Aanwezig</t>
        </is>
      </c>
      <c r="J4" s="5" t="inlineStr">
        <is>
          <t>Echt verkleed?</t>
        </is>
      </c>
      <c r="K4" s="5" t="inlineStr">
        <is>
          <t>Bij te betalen (€)</t>
        </is>
      </c>
      <c r="L4" s="5" t="inlineStr">
        <is>
          <t>Bijbetaald via</t>
        </is>
      </c>
      <c r="M4" s="5" t="inlineStr">
        <is>
          <t>Opmerking</t>
        </is>
      </c>
      <c r="N4" s="5" t="inlineStr">
        <is>
          <t>Mollie-betaling</t>
        </is>
      </c>
      <c r="O4" s="5" t="inlineStr">
        <is>
          <t>Groep compleet</t>
        </is>
      </c>
    </row>
    <row r="5">
      <c r="A5" s="6" t="inlineStr">
        <is>
          <t>19:00</t>
        </is>
      </c>
      <c r="B5" s="6" t="inlineStr">
        <is>
          <t>20:30</t>
        </is>
      </c>
      <c r="C5" s="7" t="n">
        <v>5</v>
      </c>
      <c r="D5" s="6" t="inlineStr">
        <is>
          <t>Lars de Bruin (voorbeeld)</t>
        </is>
      </c>
      <c r="E5" s="6" t="inlineStr">
        <is>
          <t>06 12345678</t>
        </is>
      </c>
      <c r="F5" s="6" t="inlineStr">
        <is>
          <t>Lars de Bruin</t>
        </is>
      </c>
      <c r="G5" s="8" t="n">
        <v>1.5</v>
      </c>
      <c r="H5" s="6" t="inlineStr">
        <is>
          <t>ja</t>
        </is>
      </c>
      <c r="I5" s="9" t="inlineStr">
        <is>
          <t>ja</t>
        </is>
      </c>
      <c r="J5" s="9" t="inlineStr">
        <is>
          <t>ja</t>
        </is>
      </c>
      <c r="K5" s="10">
        <f>IF(AND(H5="ja",J5="nee"),ROUND(37.5*G5/8,2),0)</f>
        <v/>
      </c>
      <c r="L5" s="9" t="n"/>
      <c r="M5" s="9" t="n"/>
      <c r="N5" s="6" t="inlineStr">
        <is>
          <t>tr_voorbeeld</t>
        </is>
      </c>
      <c r="O5" s="6">
        <f>IF(D5="","",IF(COUNTIFS($A$5:$A$404,A5,$D$5:$D$404,D5,$I$5:$I$404,"ja")=4,"compleet",COUNTIFS($A$5:$A$404,A5,$D$5:$D$404,D5,$I$5:$I$404,"ja")&amp;" van 4"))</f>
        <v/>
      </c>
    </row>
    <row r="6">
      <c r="A6" s="6" t="inlineStr">
        <is>
          <t>19:00</t>
        </is>
      </c>
      <c r="B6" s="6" t="inlineStr">
        <is>
          <t>20:30</t>
        </is>
      </c>
      <c r="C6" s="7" t="n">
        <v>5</v>
      </c>
      <c r="D6" s="6" t="inlineStr">
        <is>
          <t>Lars de Bruin (voorbeeld)</t>
        </is>
      </c>
      <c r="E6" s="6" t="inlineStr">
        <is>
          <t>06 12345678</t>
        </is>
      </c>
      <c r="F6" s="6" t="inlineStr">
        <is>
          <t>Anna</t>
        </is>
      </c>
      <c r="G6" s="8" t="n">
        <v>1.5</v>
      </c>
      <c r="H6" s="6" t="inlineStr">
        <is>
          <t>ja</t>
        </is>
      </c>
      <c r="I6" s="9" t="inlineStr">
        <is>
          <t>ja</t>
        </is>
      </c>
      <c r="J6" s="9" t="inlineStr">
        <is>
          <t>ja</t>
        </is>
      </c>
      <c r="K6" s="10">
        <f>IF(AND(H6="ja",J6="nee"),ROUND(37.5*G6/8,2),0)</f>
        <v/>
      </c>
      <c r="L6" s="9" t="n"/>
      <c r="M6" s="9" t="n"/>
      <c r="N6" s="6" t="inlineStr">
        <is>
          <t>tr_voorbeeld</t>
        </is>
      </c>
      <c r="O6" s="6">
        <f>IF(D6="","",IF(COUNTIFS($A$5:$A$404,A6,$D$5:$D$404,D6,$I$5:$I$404,"ja")=4,"compleet",COUNTIFS($A$5:$A$404,A6,$D$5:$D$404,D6,$I$5:$I$404,"ja")&amp;" van 4"))</f>
        <v/>
      </c>
    </row>
    <row r="7">
      <c r="A7" s="6" t="inlineStr">
        <is>
          <t>19:00</t>
        </is>
      </c>
      <c r="B7" s="6" t="inlineStr">
        <is>
          <t>20:30</t>
        </is>
      </c>
      <c r="C7" s="7" t="n">
        <v>5</v>
      </c>
      <c r="D7" s="6" t="inlineStr">
        <is>
          <t>Lars de Bruin (voorbeeld)</t>
        </is>
      </c>
      <c r="E7" s="6" t="inlineStr">
        <is>
          <t>06 12345678</t>
        </is>
      </c>
      <c r="F7" s="6" t="inlineStr">
        <is>
          <t>Bram</t>
        </is>
      </c>
      <c r="G7" s="8" t="n">
        <v>1.5</v>
      </c>
      <c r="H7" s="6" t="inlineStr">
        <is>
          <t>ja</t>
        </is>
      </c>
      <c r="I7" s="9" t="inlineStr">
        <is>
          <t>ja</t>
        </is>
      </c>
      <c r="J7" s="9" t="inlineStr">
        <is>
          <t>nee</t>
        </is>
      </c>
      <c r="K7" s="10">
        <f>IF(AND(H7="ja",J7="nee"),ROUND(37.5*G7/8,2),0)</f>
        <v/>
      </c>
      <c r="L7" s="9" t="inlineStr">
        <is>
          <t>Tikkie</t>
        </is>
      </c>
      <c r="M7" s="9" t="inlineStr">
        <is>
          <t>alleen een hoedje</t>
        </is>
      </c>
      <c r="N7" s="6" t="inlineStr">
        <is>
          <t>tr_voorbeeld</t>
        </is>
      </c>
      <c r="O7" s="6">
        <f>IF(D7="","",IF(COUNTIFS($A$5:$A$404,A7,$D$5:$D$404,D7,$I$5:$I$404,"ja")=4,"compleet",COUNTIFS($A$5:$A$404,A7,$D$5:$D$404,D7,$I$5:$I$404,"ja")&amp;" van 4"))</f>
        <v/>
      </c>
    </row>
    <row r="8">
      <c r="A8" s="6" t="inlineStr">
        <is>
          <t>19:00</t>
        </is>
      </c>
      <c r="B8" s="6" t="inlineStr">
        <is>
          <t>20:30</t>
        </is>
      </c>
      <c r="C8" s="7" t="n">
        <v>5</v>
      </c>
      <c r="D8" s="6" t="inlineStr">
        <is>
          <t>Lars de Bruin (voorbeeld)</t>
        </is>
      </c>
      <c r="E8" s="6" t="inlineStr">
        <is>
          <t>06 12345678</t>
        </is>
      </c>
      <c r="F8" s="6" t="inlineStr">
        <is>
          <t>Chris</t>
        </is>
      </c>
      <c r="G8" s="8" t="n">
        <v>1.5</v>
      </c>
      <c r="H8" s="6" t="inlineStr">
        <is>
          <t>nee</t>
        </is>
      </c>
      <c r="I8" s="9" t="inlineStr">
        <is>
          <t>ja</t>
        </is>
      </c>
      <c r="J8" s="9" t="inlineStr">
        <is>
          <t>nee</t>
        </is>
      </c>
      <c r="K8" s="10">
        <f>IF(AND(H8="ja",J8="nee"),ROUND(37.5*G8/8,2),0)</f>
        <v/>
      </c>
      <c r="L8" s="9" t="n"/>
      <c r="M8" s="9" t="inlineStr">
        <is>
          <t>heeft gewoon tarief betaald</t>
        </is>
      </c>
      <c r="N8" s="6" t="inlineStr">
        <is>
          <t>tr_voorbeeld</t>
        </is>
      </c>
      <c r="O8" s="6">
        <f>IF(D8="","",IF(COUNTIFS($A$5:$A$404,A8,$D$5:$D$404,D8,$I$5:$I$404,"ja")=4,"compleet",COUNTIFS($A$5:$A$404,A8,$D$5:$D$404,D8,$I$5:$I$404,"ja")&amp;" van 4"))</f>
        <v/>
      </c>
    </row>
    <row r="9">
      <c r="A9" s="11" t="n"/>
      <c r="B9" s="11" t="n"/>
      <c r="C9" s="7" t="n"/>
      <c r="D9" s="11" t="n"/>
      <c r="E9" s="11" t="n"/>
      <c r="F9" s="11" t="n"/>
      <c r="G9" s="12" t="n"/>
      <c r="H9" s="11" t="n"/>
      <c r="I9" s="9" t="n"/>
      <c r="J9" s="9" t="n"/>
      <c r="K9" s="13">
        <f>IF(AND(H9="ja",J9="nee"),ROUND(37.5*G9/8,2),0)</f>
        <v/>
      </c>
      <c r="L9" s="9" t="n"/>
      <c r="M9" s="9" t="n"/>
      <c r="N9" s="11" t="n"/>
      <c r="O9" s="11">
        <f>IF(D9="","",IF(COUNTIFS($A$5:$A$404,A9,$D$5:$D$404,D9,$I$5:$I$404,"ja")=4,"compleet",COUNTIFS($A$5:$A$404,A9,$D$5:$D$404,D9,$I$5:$I$404,"ja")&amp;" van 4"))</f>
        <v/>
      </c>
    </row>
    <row r="10">
      <c r="A10" s="11" t="n"/>
      <c r="B10" s="11" t="n"/>
      <c r="C10" s="7" t="n"/>
      <c r="D10" s="11" t="n"/>
      <c r="E10" s="11" t="n"/>
      <c r="F10" s="11" t="n"/>
      <c r="G10" s="12" t="n"/>
      <c r="H10" s="11" t="n"/>
      <c r="I10" s="9" t="n"/>
      <c r="J10" s="9" t="n"/>
      <c r="K10" s="13">
        <f>IF(AND(H10="ja",J10="nee"),ROUND(37.5*G10/8,2),0)</f>
        <v/>
      </c>
      <c r="L10" s="9" t="n"/>
      <c r="M10" s="9" t="n"/>
      <c r="N10" s="11" t="n"/>
      <c r="O10" s="11">
        <f>IF(D10="","",IF(COUNTIFS($A$5:$A$404,A10,$D$5:$D$404,D10,$I$5:$I$404,"ja")=4,"compleet",COUNTIFS($A$5:$A$404,A10,$D$5:$D$404,D10,$I$5:$I$404,"ja")&amp;" van 4"))</f>
        <v/>
      </c>
    </row>
    <row r="11">
      <c r="A11" s="11" t="n"/>
      <c r="B11" s="11" t="n"/>
      <c r="C11" s="7" t="n"/>
      <c r="D11" s="11" t="n"/>
      <c r="E11" s="11" t="n"/>
      <c r="F11" s="11" t="n"/>
      <c r="G11" s="12" t="n"/>
      <c r="H11" s="11" t="n"/>
      <c r="I11" s="9" t="n"/>
      <c r="J11" s="9" t="n"/>
      <c r="K11" s="13">
        <f>IF(AND(H11="ja",J11="nee"),ROUND(37.5*G11/8,2),0)</f>
        <v/>
      </c>
      <c r="L11" s="9" t="n"/>
      <c r="M11" s="9" t="n"/>
      <c r="N11" s="11" t="n"/>
      <c r="O11" s="11">
        <f>IF(D11="","",IF(COUNTIFS($A$5:$A$404,A11,$D$5:$D$404,D11,$I$5:$I$404,"ja")=4,"compleet",COUNTIFS($A$5:$A$404,A11,$D$5:$D$404,D11,$I$5:$I$404,"ja")&amp;" van 4"))</f>
        <v/>
      </c>
    </row>
    <row r="12">
      <c r="A12" s="11" t="n"/>
      <c r="B12" s="11" t="n"/>
      <c r="C12" s="7" t="n"/>
      <c r="D12" s="11" t="n"/>
      <c r="E12" s="11" t="n"/>
      <c r="F12" s="11" t="n"/>
      <c r="G12" s="12" t="n"/>
      <c r="H12" s="11" t="n"/>
      <c r="I12" s="9" t="n"/>
      <c r="J12" s="9" t="n"/>
      <c r="K12" s="13">
        <f>IF(AND(H12="ja",J12="nee"),ROUND(37.5*G12/8,2),0)</f>
        <v/>
      </c>
      <c r="L12" s="9" t="n"/>
      <c r="M12" s="9" t="n"/>
      <c r="N12" s="11" t="n"/>
      <c r="O12" s="11">
        <f>IF(D12="","",IF(COUNTIFS($A$5:$A$404,A12,$D$5:$D$404,D12,$I$5:$I$404,"ja")=4,"compleet",COUNTIFS($A$5:$A$404,A12,$D$5:$D$404,D12,$I$5:$I$404,"ja")&amp;" van 4"))</f>
        <v/>
      </c>
    </row>
    <row r="13">
      <c r="A13" s="11" t="n"/>
      <c r="B13" s="11" t="n"/>
      <c r="C13" s="7" t="n"/>
      <c r="D13" s="11" t="n"/>
      <c r="E13" s="11" t="n"/>
      <c r="F13" s="11" t="n"/>
      <c r="G13" s="12" t="n"/>
      <c r="H13" s="11" t="n"/>
      <c r="I13" s="9" t="n"/>
      <c r="J13" s="9" t="n"/>
      <c r="K13" s="13">
        <f>IF(AND(H13="ja",J13="nee"),ROUND(37.5*G13/8,2),0)</f>
        <v/>
      </c>
      <c r="L13" s="9" t="n"/>
      <c r="M13" s="9" t="n"/>
      <c r="N13" s="11" t="n"/>
      <c r="O13" s="11">
        <f>IF(D13="","",IF(COUNTIFS($A$5:$A$404,A13,$D$5:$D$404,D13,$I$5:$I$404,"ja")=4,"compleet",COUNTIFS($A$5:$A$404,A13,$D$5:$D$404,D13,$I$5:$I$404,"ja")&amp;" van 4"))</f>
        <v/>
      </c>
    </row>
    <row r="14">
      <c r="A14" s="11" t="n"/>
      <c r="B14" s="11" t="n"/>
      <c r="C14" s="7" t="n"/>
      <c r="D14" s="11" t="n"/>
      <c r="E14" s="11" t="n"/>
      <c r="F14" s="11" t="n"/>
      <c r="G14" s="12" t="n"/>
      <c r="H14" s="11" t="n"/>
      <c r="I14" s="9" t="n"/>
      <c r="J14" s="9" t="n"/>
      <c r="K14" s="13">
        <f>IF(AND(H14="ja",J14="nee"),ROUND(37.5*G14/8,2),0)</f>
        <v/>
      </c>
      <c r="L14" s="9" t="n"/>
      <c r="M14" s="9" t="n"/>
      <c r="N14" s="11" t="n"/>
      <c r="O14" s="11">
        <f>IF(D14="","",IF(COUNTIFS($A$5:$A$404,A14,$D$5:$D$404,D14,$I$5:$I$404,"ja")=4,"compleet",COUNTIFS($A$5:$A$404,A14,$D$5:$D$404,D14,$I$5:$I$404,"ja")&amp;" van 4"))</f>
        <v/>
      </c>
    </row>
    <row r="15">
      <c r="A15" s="11" t="n"/>
      <c r="B15" s="11" t="n"/>
      <c r="C15" s="7" t="n"/>
      <c r="D15" s="11" t="n"/>
      <c r="E15" s="11" t="n"/>
      <c r="F15" s="11" t="n"/>
      <c r="G15" s="12" t="n"/>
      <c r="H15" s="11" t="n"/>
      <c r="I15" s="9" t="n"/>
      <c r="J15" s="9" t="n"/>
      <c r="K15" s="13">
        <f>IF(AND(H15="ja",J15="nee"),ROUND(37.5*G15/8,2),0)</f>
        <v/>
      </c>
      <c r="L15" s="9" t="n"/>
      <c r="M15" s="9" t="n"/>
      <c r="N15" s="11" t="n"/>
      <c r="O15" s="11">
        <f>IF(D15="","",IF(COUNTIFS($A$5:$A$404,A15,$D$5:$D$404,D15,$I$5:$I$404,"ja")=4,"compleet",COUNTIFS($A$5:$A$404,A15,$D$5:$D$404,D15,$I$5:$I$404,"ja")&amp;" van 4"))</f>
        <v/>
      </c>
    </row>
    <row r="16">
      <c r="A16" s="11" t="n"/>
      <c r="B16" s="11" t="n"/>
      <c r="C16" s="7" t="n"/>
      <c r="D16" s="11" t="n"/>
      <c r="E16" s="11" t="n"/>
      <c r="F16" s="11" t="n"/>
      <c r="G16" s="12" t="n"/>
      <c r="H16" s="11" t="n"/>
      <c r="I16" s="9" t="n"/>
      <c r="J16" s="9" t="n"/>
      <c r="K16" s="13">
        <f>IF(AND(H16="ja",J16="nee"),ROUND(37.5*G16/8,2),0)</f>
        <v/>
      </c>
      <c r="L16" s="9" t="n"/>
      <c r="M16" s="9" t="n"/>
      <c r="N16" s="11" t="n"/>
      <c r="O16" s="11">
        <f>IF(D16="","",IF(COUNTIFS($A$5:$A$404,A16,$D$5:$D$404,D16,$I$5:$I$404,"ja")=4,"compleet",COUNTIFS($A$5:$A$404,A16,$D$5:$D$404,D16,$I$5:$I$404,"ja")&amp;" van 4"))</f>
        <v/>
      </c>
    </row>
    <row r="17">
      <c r="A17" s="11" t="n"/>
      <c r="B17" s="11" t="n"/>
      <c r="C17" s="7" t="n"/>
      <c r="D17" s="11" t="n"/>
      <c r="E17" s="11" t="n"/>
      <c r="F17" s="11" t="n"/>
      <c r="G17" s="12" t="n"/>
      <c r="H17" s="11" t="n"/>
      <c r="I17" s="9" t="n"/>
      <c r="J17" s="9" t="n"/>
      <c r="K17" s="13">
        <f>IF(AND(H17="ja",J17="nee"),ROUND(37.5*G17/8,2),0)</f>
        <v/>
      </c>
      <c r="L17" s="9" t="n"/>
      <c r="M17" s="9" t="n"/>
      <c r="N17" s="11" t="n"/>
      <c r="O17" s="11">
        <f>IF(D17="","",IF(COUNTIFS($A$5:$A$404,A17,$D$5:$D$404,D17,$I$5:$I$404,"ja")=4,"compleet",COUNTIFS($A$5:$A$404,A17,$D$5:$D$404,D17,$I$5:$I$404,"ja")&amp;" van 4"))</f>
        <v/>
      </c>
    </row>
    <row r="18">
      <c r="A18" s="11" t="n"/>
      <c r="B18" s="11" t="n"/>
      <c r="C18" s="7" t="n"/>
      <c r="D18" s="11" t="n"/>
      <c r="E18" s="11" t="n"/>
      <c r="F18" s="11" t="n"/>
      <c r="G18" s="12" t="n"/>
      <c r="H18" s="11" t="n"/>
      <c r="I18" s="9" t="n"/>
      <c r="J18" s="9" t="n"/>
      <c r="K18" s="13">
        <f>IF(AND(H18="ja",J18="nee"),ROUND(37.5*G18/8,2),0)</f>
        <v/>
      </c>
      <c r="L18" s="9" t="n"/>
      <c r="M18" s="9" t="n"/>
      <c r="N18" s="11" t="n"/>
      <c r="O18" s="11">
        <f>IF(D18="","",IF(COUNTIFS($A$5:$A$404,A18,$D$5:$D$404,D18,$I$5:$I$404,"ja")=4,"compleet",COUNTIFS($A$5:$A$404,A18,$D$5:$D$404,D18,$I$5:$I$404,"ja")&amp;" van 4"))</f>
        <v/>
      </c>
    </row>
    <row r="19">
      <c r="A19" s="11" t="n"/>
      <c r="B19" s="11" t="n"/>
      <c r="C19" s="7" t="n"/>
      <c r="D19" s="11" t="n"/>
      <c r="E19" s="11" t="n"/>
      <c r="F19" s="11" t="n"/>
      <c r="G19" s="12" t="n"/>
      <c r="H19" s="11" t="n"/>
      <c r="I19" s="9" t="n"/>
      <c r="J19" s="9" t="n"/>
      <c r="K19" s="13">
        <f>IF(AND(H19="ja",J19="nee"),ROUND(37.5*G19/8,2),0)</f>
        <v/>
      </c>
      <c r="L19" s="9" t="n"/>
      <c r="M19" s="9" t="n"/>
      <c r="N19" s="11" t="n"/>
      <c r="O19" s="11">
        <f>IF(D19="","",IF(COUNTIFS($A$5:$A$404,A19,$D$5:$D$404,D19,$I$5:$I$404,"ja")=4,"compleet",COUNTIFS($A$5:$A$404,A19,$D$5:$D$404,D19,$I$5:$I$404,"ja")&amp;" van 4"))</f>
        <v/>
      </c>
    </row>
    <row r="20">
      <c r="A20" s="11" t="n"/>
      <c r="B20" s="11" t="n"/>
      <c r="C20" s="7" t="n"/>
      <c r="D20" s="11" t="n"/>
      <c r="E20" s="11" t="n"/>
      <c r="F20" s="11" t="n"/>
      <c r="G20" s="12" t="n"/>
      <c r="H20" s="11" t="n"/>
      <c r="I20" s="9" t="n"/>
      <c r="J20" s="9" t="n"/>
      <c r="K20" s="13">
        <f>IF(AND(H20="ja",J20="nee"),ROUND(37.5*G20/8,2),0)</f>
        <v/>
      </c>
      <c r="L20" s="9" t="n"/>
      <c r="M20" s="9" t="n"/>
      <c r="N20" s="11" t="n"/>
      <c r="O20" s="11">
        <f>IF(D20="","",IF(COUNTIFS($A$5:$A$404,A20,$D$5:$D$404,D20,$I$5:$I$404,"ja")=4,"compleet",COUNTIFS($A$5:$A$404,A20,$D$5:$D$404,D20,$I$5:$I$404,"ja")&amp;" van 4"))</f>
        <v/>
      </c>
    </row>
    <row r="21">
      <c r="A21" s="11" t="n"/>
      <c r="B21" s="11" t="n"/>
      <c r="C21" s="7" t="n"/>
      <c r="D21" s="11" t="n"/>
      <c r="E21" s="11" t="n"/>
      <c r="F21" s="11" t="n"/>
      <c r="G21" s="12" t="n"/>
      <c r="H21" s="11" t="n"/>
      <c r="I21" s="9" t="n"/>
      <c r="J21" s="9" t="n"/>
      <c r="K21" s="13">
        <f>IF(AND(H21="ja",J21="nee"),ROUND(37.5*G21/8,2),0)</f>
        <v/>
      </c>
      <c r="L21" s="9" t="n"/>
      <c r="M21" s="9" t="n"/>
      <c r="N21" s="11" t="n"/>
      <c r="O21" s="11">
        <f>IF(D21="","",IF(COUNTIFS($A$5:$A$404,A21,$D$5:$D$404,D21,$I$5:$I$404,"ja")=4,"compleet",COUNTIFS($A$5:$A$404,A21,$D$5:$D$404,D21,$I$5:$I$404,"ja")&amp;" van 4"))</f>
        <v/>
      </c>
    </row>
    <row r="22">
      <c r="A22" s="11" t="n"/>
      <c r="B22" s="11" t="n"/>
      <c r="C22" s="7" t="n"/>
      <c r="D22" s="11" t="n"/>
      <c r="E22" s="11" t="n"/>
      <c r="F22" s="11" t="n"/>
      <c r="G22" s="12" t="n"/>
      <c r="H22" s="11" t="n"/>
      <c r="I22" s="9" t="n"/>
      <c r="J22" s="9" t="n"/>
      <c r="K22" s="13">
        <f>IF(AND(H22="ja",J22="nee"),ROUND(37.5*G22/8,2),0)</f>
        <v/>
      </c>
      <c r="L22" s="9" t="n"/>
      <c r="M22" s="9" t="n"/>
      <c r="N22" s="11" t="n"/>
      <c r="O22" s="11">
        <f>IF(D22="","",IF(COUNTIFS($A$5:$A$404,A22,$D$5:$D$404,D22,$I$5:$I$404,"ja")=4,"compleet",COUNTIFS($A$5:$A$404,A22,$D$5:$D$404,D22,$I$5:$I$404,"ja")&amp;" van 4"))</f>
        <v/>
      </c>
    </row>
    <row r="23">
      <c r="A23" s="11" t="n"/>
      <c r="B23" s="11" t="n"/>
      <c r="C23" s="7" t="n"/>
      <c r="D23" s="11" t="n"/>
      <c r="E23" s="11" t="n"/>
      <c r="F23" s="11" t="n"/>
      <c r="G23" s="12" t="n"/>
      <c r="H23" s="11" t="n"/>
      <c r="I23" s="9" t="n"/>
      <c r="J23" s="9" t="n"/>
      <c r="K23" s="13">
        <f>IF(AND(H23="ja",J23="nee"),ROUND(37.5*G23/8,2),0)</f>
        <v/>
      </c>
      <c r="L23" s="9" t="n"/>
      <c r="M23" s="9" t="n"/>
      <c r="N23" s="11" t="n"/>
      <c r="O23" s="11">
        <f>IF(D23="","",IF(COUNTIFS($A$5:$A$404,A23,$D$5:$D$404,D23,$I$5:$I$404,"ja")=4,"compleet",COUNTIFS($A$5:$A$404,A23,$D$5:$D$404,D23,$I$5:$I$404,"ja")&amp;" van 4"))</f>
        <v/>
      </c>
    </row>
    <row r="24">
      <c r="A24" s="11" t="n"/>
      <c r="B24" s="11" t="n"/>
      <c r="C24" s="7" t="n"/>
      <c r="D24" s="11" t="n"/>
      <c r="E24" s="11" t="n"/>
      <c r="F24" s="11" t="n"/>
      <c r="G24" s="12" t="n"/>
      <c r="H24" s="11" t="n"/>
      <c r="I24" s="9" t="n"/>
      <c r="J24" s="9" t="n"/>
      <c r="K24" s="13">
        <f>IF(AND(H24="ja",J24="nee"),ROUND(37.5*G24/8,2),0)</f>
        <v/>
      </c>
      <c r="L24" s="9" t="n"/>
      <c r="M24" s="9" t="n"/>
      <c r="N24" s="11" t="n"/>
      <c r="O24" s="11">
        <f>IF(D24="","",IF(COUNTIFS($A$5:$A$404,A24,$D$5:$D$404,D24,$I$5:$I$404,"ja")=4,"compleet",COUNTIFS($A$5:$A$404,A24,$D$5:$D$404,D24,$I$5:$I$404,"ja")&amp;" van 4"))</f>
        <v/>
      </c>
    </row>
    <row r="25">
      <c r="A25" s="11" t="n"/>
      <c r="B25" s="11" t="n"/>
      <c r="C25" s="7" t="n"/>
      <c r="D25" s="11" t="n"/>
      <c r="E25" s="11" t="n"/>
      <c r="F25" s="11" t="n"/>
      <c r="G25" s="12" t="n"/>
      <c r="H25" s="11" t="n"/>
      <c r="I25" s="9" t="n"/>
      <c r="J25" s="9" t="n"/>
      <c r="K25" s="13">
        <f>IF(AND(H25="ja",J25="nee"),ROUND(37.5*G25/8,2),0)</f>
        <v/>
      </c>
      <c r="L25" s="9" t="n"/>
      <c r="M25" s="9" t="n"/>
      <c r="N25" s="11" t="n"/>
      <c r="O25" s="11">
        <f>IF(D25="","",IF(COUNTIFS($A$5:$A$404,A25,$D$5:$D$404,D25,$I$5:$I$404,"ja")=4,"compleet",COUNTIFS($A$5:$A$404,A25,$D$5:$D$404,D25,$I$5:$I$404,"ja")&amp;" van 4"))</f>
        <v/>
      </c>
    </row>
    <row r="26">
      <c r="A26" s="11" t="n"/>
      <c r="B26" s="11" t="n"/>
      <c r="C26" s="7" t="n"/>
      <c r="D26" s="11" t="n"/>
      <c r="E26" s="11" t="n"/>
      <c r="F26" s="11" t="n"/>
      <c r="G26" s="12" t="n"/>
      <c r="H26" s="11" t="n"/>
      <c r="I26" s="9" t="n"/>
      <c r="J26" s="9" t="n"/>
      <c r="K26" s="13">
        <f>IF(AND(H26="ja",J26="nee"),ROUND(37.5*G26/8,2),0)</f>
        <v/>
      </c>
      <c r="L26" s="9" t="n"/>
      <c r="M26" s="9" t="n"/>
      <c r="N26" s="11" t="n"/>
      <c r="O26" s="11">
        <f>IF(D26="","",IF(COUNTIFS($A$5:$A$404,A26,$D$5:$D$404,D26,$I$5:$I$404,"ja")=4,"compleet",COUNTIFS($A$5:$A$404,A26,$D$5:$D$404,D26,$I$5:$I$404,"ja")&amp;" van 4"))</f>
        <v/>
      </c>
    </row>
    <row r="27">
      <c r="A27" s="11" t="n"/>
      <c r="B27" s="11" t="n"/>
      <c r="C27" s="7" t="n"/>
      <c r="D27" s="11" t="n"/>
      <c r="E27" s="11" t="n"/>
      <c r="F27" s="11" t="n"/>
      <c r="G27" s="12" t="n"/>
      <c r="H27" s="11" t="n"/>
      <c r="I27" s="9" t="n"/>
      <c r="J27" s="9" t="n"/>
      <c r="K27" s="13">
        <f>IF(AND(H27="ja",J27="nee"),ROUND(37.5*G27/8,2),0)</f>
        <v/>
      </c>
      <c r="L27" s="9" t="n"/>
      <c r="M27" s="9" t="n"/>
      <c r="N27" s="11" t="n"/>
      <c r="O27" s="11">
        <f>IF(D27="","",IF(COUNTIFS($A$5:$A$404,A27,$D$5:$D$404,D27,$I$5:$I$404,"ja")=4,"compleet",COUNTIFS($A$5:$A$404,A27,$D$5:$D$404,D27,$I$5:$I$404,"ja")&amp;" van 4"))</f>
        <v/>
      </c>
    </row>
    <row r="28">
      <c r="A28" s="11" t="n"/>
      <c r="B28" s="11" t="n"/>
      <c r="C28" s="7" t="n"/>
      <c r="D28" s="11" t="n"/>
      <c r="E28" s="11" t="n"/>
      <c r="F28" s="11" t="n"/>
      <c r="G28" s="12" t="n"/>
      <c r="H28" s="11" t="n"/>
      <c r="I28" s="9" t="n"/>
      <c r="J28" s="9" t="n"/>
      <c r="K28" s="13">
        <f>IF(AND(H28="ja",J28="nee"),ROUND(37.5*G28/8,2),0)</f>
        <v/>
      </c>
      <c r="L28" s="9" t="n"/>
      <c r="M28" s="9" t="n"/>
      <c r="N28" s="11" t="n"/>
      <c r="O28" s="11">
        <f>IF(D28="","",IF(COUNTIFS($A$5:$A$404,A28,$D$5:$D$404,D28,$I$5:$I$404,"ja")=4,"compleet",COUNTIFS($A$5:$A$404,A28,$D$5:$D$404,D28,$I$5:$I$404,"ja")&amp;" van 4"))</f>
        <v/>
      </c>
    </row>
    <row r="29">
      <c r="A29" s="11" t="n"/>
      <c r="B29" s="11" t="n"/>
      <c r="C29" s="7" t="n"/>
      <c r="D29" s="11" t="n"/>
      <c r="E29" s="11" t="n"/>
      <c r="F29" s="11" t="n"/>
      <c r="G29" s="12" t="n"/>
      <c r="H29" s="11" t="n"/>
      <c r="I29" s="9" t="n"/>
      <c r="J29" s="9" t="n"/>
      <c r="K29" s="13">
        <f>IF(AND(H29="ja",J29="nee"),ROUND(37.5*G29/8,2),0)</f>
        <v/>
      </c>
      <c r="L29" s="9" t="n"/>
      <c r="M29" s="9" t="n"/>
      <c r="N29" s="11" t="n"/>
      <c r="O29" s="11">
        <f>IF(D29="","",IF(COUNTIFS($A$5:$A$404,A29,$D$5:$D$404,D29,$I$5:$I$404,"ja")=4,"compleet",COUNTIFS($A$5:$A$404,A29,$D$5:$D$404,D29,$I$5:$I$404,"ja")&amp;" van 4"))</f>
        <v/>
      </c>
    </row>
    <row r="30">
      <c r="A30" s="11" t="n"/>
      <c r="B30" s="11" t="n"/>
      <c r="C30" s="7" t="n"/>
      <c r="D30" s="11" t="n"/>
      <c r="E30" s="11" t="n"/>
      <c r="F30" s="11" t="n"/>
      <c r="G30" s="12" t="n"/>
      <c r="H30" s="11" t="n"/>
      <c r="I30" s="9" t="n"/>
      <c r="J30" s="9" t="n"/>
      <c r="K30" s="13">
        <f>IF(AND(H30="ja",J30="nee"),ROUND(37.5*G30/8,2),0)</f>
        <v/>
      </c>
      <c r="L30" s="9" t="n"/>
      <c r="M30" s="9" t="n"/>
      <c r="N30" s="11" t="n"/>
      <c r="O30" s="11">
        <f>IF(D30="","",IF(COUNTIFS($A$5:$A$404,A30,$D$5:$D$404,D30,$I$5:$I$404,"ja")=4,"compleet",COUNTIFS($A$5:$A$404,A30,$D$5:$D$404,D30,$I$5:$I$404,"ja")&amp;" van 4"))</f>
        <v/>
      </c>
    </row>
    <row r="31">
      <c r="A31" s="11" t="n"/>
      <c r="B31" s="11" t="n"/>
      <c r="C31" s="7" t="n"/>
      <c r="D31" s="11" t="n"/>
      <c r="E31" s="11" t="n"/>
      <c r="F31" s="11" t="n"/>
      <c r="G31" s="12" t="n"/>
      <c r="H31" s="11" t="n"/>
      <c r="I31" s="9" t="n"/>
      <c r="J31" s="9" t="n"/>
      <c r="K31" s="13">
        <f>IF(AND(H31="ja",J31="nee"),ROUND(37.5*G31/8,2),0)</f>
        <v/>
      </c>
      <c r="L31" s="9" t="n"/>
      <c r="M31" s="9" t="n"/>
      <c r="N31" s="11" t="n"/>
      <c r="O31" s="11">
        <f>IF(D31="","",IF(COUNTIFS($A$5:$A$404,A31,$D$5:$D$404,D31,$I$5:$I$404,"ja")=4,"compleet",COUNTIFS($A$5:$A$404,A31,$D$5:$D$404,D31,$I$5:$I$404,"ja")&amp;" van 4"))</f>
        <v/>
      </c>
    </row>
    <row r="32">
      <c r="A32" s="11" t="n"/>
      <c r="B32" s="11" t="n"/>
      <c r="C32" s="7" t="n"/>
      <c r="D32" s="11" t="n"/>
      <c r="E32" s="11" t="n"/>
      <c r="F32" s="11" t="n"/>
      <c r="G32" s="12" t="n"/>
      <c r="H32" s="11" t="n"/>
      <c r="I32" s="9" t="n"/>
      <c r="J32" s="9" t="n"/>
      <c r="K32" s="13">
        <f>IF(AND(H32="ja",J32="nee"),ROUND(37.5*G32/8,2),0)</f>
        <v/>
      </c>
      <c r="L32" s="9" t="n"/>
      <c r="M32" s="9" t="n"/>
      <c r="N32" s="11" t="n"/>
      <c r="O32" s="11">
        <f>IF(D32="","",IF(COUNTIFS($A$5:$A$404,A32,$D$5:$D$404,D32,$I$5:$I$404,"ja")=4,"compleet",COUNTIFS($A$5:$A$404,A32,$D$5:$D$404,D32,$I$5:$I$404,"ja")&amp;" van 4"))</f>
        <v/>
      </c>
    </row>
    <row r="33">
      <c r="A33" s="11" t="n"/>
      <c r="B33" s="11" t="n"/>
      <c r="C33" s="7" t="n"/>
      <c r="D33" s="11" t="n"/>
      <c r="E33" s="11" t="n"/>
      <c r="F33" s="11" t="n"/>
      <c r="G33" s="12" t="n"/>
      <c r="H33" s="11" t="n"/>
      <c r="I33" s="9" t="n"/>
      <c r="J33" s="9" t="n"/>
      <c r="K33" s="13">
        <f>IF(AND(H33="ja",J33="nee"),ROUND(37.5*G33/8,2),0)</f>
        <v/>
      </c>
      <c r="L33" s="9" t="n"/>
      <c r="M33" s="9" t="n"/>
      <c r="N33" s="11" t="n"/>
      <c r="O33" s="11">
        <f>IF(D33="","",IF(COUNTIFS($A$5:$A$404,A33,$D$5:$D$404,D33,$I$5:$I$404,"ja")=4,"compleet",COUNTIFS($A$5:$A$404,A33,$D$5:$D$404,D33,$I$5:$I$404,"ja")&amp;" van 4"))</f>
        <v/>
      </c>
    </row>
    <row r="34">
      <c r="A34" s="11" t="n"/>
      <c r="B34" s="11" t="n"/>
      <c r="C34" s="7" t="n"/>
      <c r="D34" s="11" t="n"/>
      <c r="E34" s="11" t="n"/>
      <c r="F34" s="11" t="n"/>
      <c r="G34" s="12" t="n"/>
      <c r="H34" s="11" t="n"/>
      <c r="I34" s="9" t="n"/>
      <c r="J34" s="9" t="n"/>
      <c r="K34" s="13">
        <f>IF(AND(H34="ja",J34="nee"),ROUND(37.5*G34/8,2),0)</f>
        <v/>
      </c>
      <c r="L34" s="9" t="n"/>
      <c r="M34" s="9" t="n"/>
      <c r="N34" s="11" t="n"/>
      <c r="O34" s="11">
        <f>IF(D34="","",IF(COUNTIFS($A$5:$A$404,A34,$D$5:$D$404,D34,$I$5:$I$404,"ja")=4,"compleet",COUNTIFS($A$5:$A$404,A34,$D$5:$D$404,D34,$I$5:$I$404,"ja")&amp;" van 4"))</f>
        <v/>
      </c>
    </row>
    <row r="35">
      <c r="A35" s="11" t="n"/>
      <c r="B35" s="11" t="n"/>
      <c r="C35" s="7" t="n"/>
      <c r="D35" s="11" t="n"/>
      <c r="E35" s="11" t="n"/>
      <c r="F35" s="11" t="n"/>
      <c r="G35" s="12" t="n"/>
      <c r="H35" s="11" t="n"/>
      <c r="I35" s="9" t="n"/>
      <c r="J35" s="9" t="n"/>
      <c r="K35" s="13">
        <f>IF(AND(H35="ja",J35="nee"),ROUND(37.5*G35/8,2),0)</f>
        <v/>
      </c>
      <c r="L35" s="9" t="n"/>
      <c r="M35" s="9" t="n"/>
      <c r="N35" s="11" t="n"/>
      <c r="O35" s="11">
        <f>IF(D35="","",IF(COUNTIFS($A$5:$A$404,A35,$D$5:$D$404,D35,$I$5:$I$404,"ja")=4,"compleet",COUNTIFS($A$5:$A$404,A35,$D$5:$D$404,D35,$I$5:$I$404,"ja")&amp;" van 4"))</f>
        <v/>
      </c>
    </row>
    <row r="36">
      <c r="A36" s="11" t="n"/>
      <c r="B36" s="11" t="n"/>
      <c r="C36" s="7" t="n"/>
      <c r="D36" s="11" t="n"/>
      <c r="E36" s="11" t="n"/>
      <c r="F36" s="11" t="n"/>
      <c r="G36" s="12" t="n"/>
      <c r="H36" s="11" t="n"/>
      <c r="I36" s="9" t="n"/>
      <c r="J36" s="9" t="n"/>
      <c r="K36" s="13">
        <f>IF(AND(H36="ja",J36="nee"),ROUND(37.5*G36/8,2),0)</f>
        <v/>
      </c>
      <c r="L36" s="9" t="n"/>
      <c r="M36" s="9" t="n"/>
      <c r="N36" s="11" t="n"/>
      <c r="O36" s="11">
        <f>IF(D36="","",IF(COUNTIFS($A$5:$A$404,A36,$D$5:$D$404,D36,$I$5:$I$404,"ja")=4,"compleet",COUNTIFS($A$5:$A$404,A36,$D$5:$D$404,D36,$I$5:$I$404,"ja")&amp;" van 4"))</f>
        <v/>
      </c>
    </row>
    <row r="37">
      <c r="A37" s="11" t="n"/>
      <c r="B37" s="11" t="n"/>
      <c r="C37" s="7" t="n"/>
      <c r="D37" s="11" t="n"/>
      <c r="E37" s="11" t="n"/>
      <c r="F37" s="11" t="n"/>
      <c r="G37" s="12" t="n"/>
      <c r="H37" s="11" t="n"/>
      <c r="I37" s="9" t="n"/>
      <c r="J37" s="9" t="n"/>
      <c r="K37" s="13">
        <f>IF(AND(H37="ja",J37="nee"),ROUND(37.5*G37/8,2),0)</f>
        <v/>
      </c>
      <c r="L37" s="9" t="n"/>
      <c r="M37" s="9" t="n"/>
      <c r="N37" s="11" t="n"/>
      <c r="O37" s="11">
        <f>IF(D37="","",IF(COUNTIFS($A$5:$A$404,A37,$D$5:$D$404,D37,$I$5:$I$404,"ja")=4,"compleet",COUNTIFS($A$5:$A$404,A37,$D$5:$D$404,D37,$I$5:$I$404,"ja")&amp;" van 4"))</f>
        <v/>
      </c>
    </row>
    <row r="38">
      <c r="A38" s="11" t="n"/>
      <c r="B38" s="11" t="n"/>
      <c r="C38" s="7" t="n"/>
      <c r="D38" s="11" t="n"/>
      <c r="E38" s="11" t="n"/>
      <c r="F38" s="11" t="n"/>
      <c r="G38" s="12" t="n"/>
      <c r="H38" s="11" t="n"/>
      <c r="I38" s="9" t="n"/>
      <c r="J38" s="9" t="n"/>
      <c r="K38" s="13">
        <f>IF(AND(H38="ja",J38="nee"),ROUND(37.5*G38/8,2),0)</f>
        <v/>
      </c>
      <c r="L38" s="9" t="n"/>
      <c r="M38" s="9" t="n"/>
      <c r="N38" s="11" t="n"/>
      <c r="O38" s="11">
        <f>IF(D38="","",IF(COUNTIFS($A$5:$A$404,A38,$D$5:$D$404,D38,$I$5:$I$404,"ja")=4,"compleet",COUNTIFS($A$5:$A$404,A38,$D$5:$D$404,D38,$I$5:$I$404,"ja")&amp;" van 4"))</f>
        <v/>
      </c>
    </row>
    <row r="39">
      <c r="A39" s="11" t="n"/>
      <c r="B39" s="11" t="n"/>
      <c r="C39" s="7" t="n"/>
      <c r="D39" s="11" t="n"/>
      <c r="E39" s="11" t="n"/>
      <c r="F39" s="11" t="n"/>
      <c r="G39" s="12" t="n"/>
      <c r="H39" s="11" t="n"/>
      <c r="I39" s="9" t="n"/>
      <c r="J39" s="9" t="n"/>
      <c r="K39" s="13">
        <f>IF(AND(H39="ja",J39="nee"),ROUND(37.5*G39/8,2),0)</f>
        <v/>
      </c>
      <c r="L39" s="9" t="n"/>
      <c r="M39" s="9" t="n"/>
      <c r="N39" s="11" t="n"/>
      <c r="O39" s="11">
        <f>IF(D39="","",IF(COUNTIFS($A$5:$A$404,A39,$D$5:$D$404,D39,$I$5:$I$404,"ja")=4,"compleet",COUNTIFS($A$5:$A$404,A39,$D$5:$D$404,D39,$I$5:$I$404,"ja")&amp;" van 4"))</f>
        <v/>
      </c>
    </row>
    <row r="40">
      <c r="A40" s="11" t="n"/>
      <c r="B40" s="11" t="n"/>
      <c r="C40" s="7" t="n"/>
      <c r="D40" s="11" t="n"/>
      <c r="E40" s="11" t="n"/>
      <c r="F40" s="11" t="n"/>
      <c r="G40" s="12" t="n"/>
      <c r="H40" s="11" t="n"/>
      <c r="I40" s="9" t="n"/>
      <c r="J40" s="9" t="n"/>
      <c r="K40" s="13">
        <f>IF(AND(H40="ja",J40="nee"),ROUND(37.5*G40/8,2),0)</f>
        <v/>
      </c>
      <c r="L40" s="9" t="n"/>
      <c r="M40" s="9" t="n"/>
      <c r="N40" s="11" t="n"/>
      <c r="O40" s="11">
        <f>IF(D40="","",IF(COUNTIFS($A$5:$A$404,A40,$D$5:$D$404,D40,$I$5:$I$404,"ja")=4,"compleet",COUNTIFS($A$5:$A$404,A40,$D$5:$D$404,D40,$I$5:$I$404,"ja")&amp;" van 4"))</f>
        <v/>
      </c>
    </row>
    <row r="41">
      <c r="A41" s="11" t="n"/>
      <c r="B41" s="11" t="n"/>
      <c r="C41" s="7" t="n"/>
      <c r="D41" s="11" t="n"/>
      <c r="E41" s="11" t="n"/>
      <c r="F41" s="11" t="n"/>
      <c r="G41" s="12" t="n"/>
      <c r="H41" s="11" t="n"/>
      <c r="I41" s="9" t="n"/>
      <c r="J41" s="9" t="n"/>
      <c r="K41" s="13">
        <f>IF(AND(H41="ja",J41="nee"),ROUND(37.5*G41/8,2),0)</f>
        <v/>
      </c>
      <c r="L41" s="9" t="n"/>
      <c r="M41" s="9" t="n"/>
      <c r="N41" s="11" t="n"/>
      <c r="O41" s="11">
        <f>IF(D41="","",IF(COUNTIFS($A$5:$A$404,A41,$D$5:$D$404,D41,$I$5:$I$404,"ja")=4,"compleet",COUNTIFS($A$5:$A$404,A41,$D$5:$D$404,D41,$I$5:$I$404,"ja")&amp;" van 4"))</f>
        <v/>
      </c>
    </row>
    <row r="42">
      <c r="A42" s="11" t="n"/>
      <c r="B42" s="11" t="n"/>
      <c r="C42" s="7" t="n"/>
      <c r="D42" s="11" t="n"/>
      <c r="E42" s="11" t="n"/>
      <c r="F42" s="11" t="n"/>
      <c r="G42" s="12" t="n"/>
      <c r="H42" s="11" t="n"/>
      <c r="I42" s="9" t="n"/>
      <c r="J42" s="9" t="n"/>
      <c r="K42" s="13">
        <f>IF(AND(H42="ja",J42="nee"),ROUND(37.5*G42/8,2),0)</f>
        <v/>
      </c>
      <c r="L42" s="9" t="n"/>
      <c r="M42" s="9" t="n"/>
      <c r="N42" s="11" t="n"/>
      <c r="O42" s="11">
        <f>IF(D42="","",IF(COUNTIFS($A$5:$A$404,A42,$D$5:$D$404,D42,$I$5:$I$404,"ja")=4,"compleet",COUNTIFS($A$5:$A$404,A42,$D$5:$D$404,D42,$I$5:$I$404,"ja")&amp;" van 4"))</f>
        <v/>
      </c>
    </row>
    <row r="43">
      <c r="A43" s="11" t="n"/>
      <c r="B43" s="11" t="n"/>
      <c r="C43" s="7" t="n"/>
      <c r="D43" s="11" t="n"/>
      <c r="E43" s="11" t="n"/>
      <c r="F43" s="11" t="n"/>
      <c r="G43" s="12" t="n"/>
      <c r="H43" s="11" t="n"/>
      <c r="I43" s="9" t="n"/>
      <c r="J43" s="9" t="n"/>
      <c r="K43" s="13">
        <f>IF(AND(H43="ja",J43="nee"),ROUND(37.5*G43/8,2),0)</f>
        <v/>
      </c>
      <c r="L43" s="9" t="n"/>
      <c r="M43" s="9" t="n"/>
      <c r="N43" s="11" t="n"/>
      <c r="O43" s="11">
        <f>IF(D43="","",IF(COUNTIFS($A$5:$A$404,A43,$D$5:$D$404,D43,$I$5:$I$404,"ja")=4,"compleet",COUNTIFS($A$5:$A$404,A43,$D$5:$D$404,D43,$I$5:$I$404,"ja")&amp;" van 4"))</f>
        <v/>
      </c>
    </row>
    <row r="44">
      <c r="A44" s="11" t="n"/>
      <c r="B44" s="11" t="n"/>
      <c r="C44" s="7" t="n"/>
      <c r="D44" s="11" t="n"/>
      <c r="E44" s="11" t="n"/>
      <c r="F44" s="11" t="n"/>
      <c r="G44" s="12" t="n"/>
      <c r="H44" s="11" t="n"/>
      <c r="I44" s="9" t="n"/>
      <c r="J44" s="9" t="n"/>
      <c r="K44" s="13">
        <f>IF(AND(H44="ja",J44="nee"),ROUND(37.5*G44/8,2),0)</f>
        <v/>
      </c>
      <c r="L44" s="9" t="n"/>
      <c r="M44" s="9" t="n"/>
      <c r="N44" s="11" t="n"/>
      <c r="O44" s="11">
        <f>IF(D44="","",IF(COUNTIFS($A$5:$A$404,A44,$D$5:$D$404,D44,$I$5:$I$404,"ja")=4,"compleet",COUNTIFS($A$5:$A$404,A44,$D$5:$D$404,D44,$I$5:$I$404,"ja")&amp;" van 4"))</f>
        <v/>
      </c>
    </row>
    <row r="45">
      <c r="A45" s="11" t="n"/>
      <c r="B45" s="11" t="n"/>
      <c r="C45" s="7" t="n"/>
      <c r="D45" s="11" t="n"/>
      <c r="E45" s="11" t="n"/>
      <c r="F45" s="11" t="n"/>
      <c r="G45" s="12" t="n"/>
      <c r="H45" s="11" t="n"/>
      <c r="I45" s="9" t="n"/>
      <c r="J45" s="9" t="n"/>
      <c r="K45" s="13">
        <f>IF(AND(H45="ja",J45="nee"),ROUND(37.5*G45/8,2),0)</f>
        <v/>
      </c>
      <c r="L45" s="9" t="n"/>
      <c r="M45" s="9" t="n"/>
      <c r="N45" s="11" t="n"/>
      <c r="O45" s="11">
        <f>IF(D45="","",IF(COUNTIFS($A$5:$A$404,A45,$D$5:$D$404,D45,$I$5:$I$404,"ja")=4,"compleet",COUNTIFS($A$5:$A$404,A45,$D$5:$D$404,D45,$I$5:$I$404,"ja")&amp;" van 4"))</f>
        <v/>
      </c>
    </row>
    <row r="46">
      <c r="A46" s="11" t="n"/>
      <c r="B46" s="11" t="n"/>
      <c r="C46" s="7" t="n"/>
      <c r="D46" s="11" t="n"/>
      <c r="E46" s="11" t="n"/>
      <c r="F46" s="11" t="n"/>
      <c r="G46" s="12" t="n"/>
      <c r="H46" s="11" t="n"/>
      <c r="I46" s="9" t="n"/>
      <c r="J46" s="9" t="n"/>
      <c r="K46" s="13">
        <f>IF(AND(H46="ja",J46="nee"),ROUND(37.5*G46/8,2),0)</f>
        <v/>
      </c>
      <c r="L46" s="9" t="n"/>
      <c r="M46" s="9" t="n"/>
      <c r="N46" s="11" t="n"/>
      <c r="O46" s="11">
        <f>IF(D46="","",IF(COUNTIFS($A$5:$A$404,A46,$D$5:$D$404,D46,$I$5:$I$404,"ja")=4,"compleet",COUNTIFS($A$5:$A$404,A46,$D$5:$D$404,D46,$I$5:$I$404,"ja")&amp;" van 4"))</f>
        <v/>
      </c>
    </row>
    <row r="47">
      <c r="A47" s="11" t="n"/>
      <c r="B47" s="11" t="n"/>
      <c r="C47" s="7" t="n"/>
      <c r="D47" s="11" t="n"/>
      <c r="E47" s="11" t="n"/>
      <c r="F47" s="11" t="n"/>
      <c r="G47" s="12" t="n"/>
      <c r="H47" s="11" t="n"/>
      <c r="I47" s="9" t="n"/>
      <c r="J47" s="9" t="n"/>
      <c r="K47" s="13">
        <f>IF(AND(H47="ja",J47="nee"),ROUND(37.5*G47/8,2),0)</f>
        <v/>
      </c>
      <c r="L47" s="9" t="n"/>
      <c r="M47" s="9" t="n"/>
      <c r="N47" s="11" t="n"/>
      <c r="O47" s="11">
        <f>IF(D47="","",IF(COUNTIFS($A$5:$A$404,A47,$D$5:$D$404,D47,$I$5:$I$404,"ja")=4,"compleet",COUNTIFS($A$5:$A$404,A47,$D$5:$D$404,D47,$I$5:$I$404,"ja")&amp;" van 4"))</f>
        <v/>
      </c>
    </row>
    <row r="48">
      <c r="A48" s="11" t="n"/>
      <c r="B48" s="11" t="n"/>
      <c r="C48" s="7" t="n"/>
      <c r="D48" s="11" t="n"/>
      <c r="E48" s="11" t="n"/>
      <c r="F48" s="11" t="n"/>
      <c r="G48" s="12" t="n"/>
      <c r="H48" s="11" t="n"/>
      <c r="I48" s="9" t="n"/>
      <c r="J48" s="9" t="n"/>
      <c r="K48" s="13">
        <f>IF(AND(H48="ja",J48="nee"),ROUND(37.5*G48/8,2),0)</f>
        <v/>
      </c>
      <c r="L48" s="9" t="n"/>
      <c r="M48" s="9" t="n"/>
      <c r="N48" s="11" t="n"/>
      <c r="O48" s="11">
        <f>IF(D48="","",IF(COUNTIFS($A$5:$A$404,A48,$D$5:$D$404,D48,$I$5:$I$404,"ja")=4,"compleet",COUNTIFS($A$5:$A$404,A48,$D$5:$D$404,D48,$I$5:$I$404,"ja")&amp;" van 4"))</f>
        <v/>
      </c>
    </row>
    <row r="49">
      <c r="A49" s="11" t="n"/>
      <c r="B49" s="11" t="n"/>
      <c r="C49" s="7" t="n"/>
      <c r="D49" s="11" t="n"/>
      <c r="E49" s="11" t="n"/>
      <c r="F49" s="11" t="n"/>
      <c r="G49" s="12" t="n"/>
      <c r="H49" s="11" t="n"/>
      <c r="I49" s="9" t="n"/>
      <c r="J49" s="9" t="n"/>
      <c r="K49" s="13">
        <f>IF(AND(H49="ja",J49="nee"),ROUND(37.5*G49/8,2),0)</f>
        <v/>
      </c>
      <c r="L49" s="9" t="n"/>
      <c r="M49" s="9" t="n"/>
      <c r="N49" s="11" t="n"/>
      <c r="O49" s="11">
        <f>IF(D49="","",IF(COUNTIFS($A$5:$A$404,A49,$D$5:$D$404,D49,$I$5:$I$404,"ja")=4,"compleet",COUNTIFS($A$5:$A$404,A49,$D$5:$D$404,D49,$I$5:$I$404,"ja")&amp;" van 4"))</f>
        <v/>
      </c>
    </row>
    <row r="50">
      <c r="A50" s="11" t="n"/>
      <c r="B50" s="11" t="n"/>
      <c r="C50" s="7" t="n"/>
      <c r="D50" s="11" t="n"/>
      <c r="E50" s="11" t="n"/>
      <c r="F50" s="11" t="n"/>
      <c r="G50" s="12" t="n"/>
      <c r="H50" s="11" t="n"/>
      <c r="I50" s="9" t="n"/>
      <c r="J50" s="9" t="n"/>
      <c r="K50" s="13">
        <f>IF(AND(H50="ja",J50="nee"),ROUND(37.5*G50/8,2),0)</f>
        <v/>
      </c>
      <c r="L50" s="9" t="n"/>
      <c r="M50" s="9" t="n"/>
      <c r="N50" s="11" t="n"/>
      <c r="O50" s="11">
        <f>IF(D50="","",IF(COUNTIFS($A$5:$A$404,A50,$D$5:$D$404,D50,$I$5:$I$404,"ja")=4,"compleet",COUNTIFS($A$5:$A$404,A50,$D$5:$D$404,D50,$I$5:$I$404,"ja")&amp;" van 4"))</f>
        <v/>
      </c>
    </row>
    <row r="51">
      <c r="A51" s="11" t="n"/>
      <c r="B51" s="11" t="n"/>
      <c r="C51" s="7" t="n"/>
      <c r="D51" s="11" t="n"/>
      <c r="E51" s="11" t="n"/>
      <c r="F51" s="11" t="n"/>
      <c r="G51" s="12" t="n"/>
      <c r="H51" s="11" t="n"/>
      <c r="I51" s="9" t="n"/>
      <c r="J51" s="9" t="n"/>
      <c r="K51" s="13">
        <f>IF(AND(H51="ja",J51="nee"),ROUND(37.5*G51/8,2),0)</f>
        <v/>
      </c>
      <c r="L51" s="9" t="n"/>
      <c r="M51" s="9" t="n"/>
      <c r="N51" s="11" t="n"/>
      <c r="O51" s="11">
        <f>IF(D51="","",IF(COUNTIFS($A$5:$A$404,A51,$D$5:$D$404,D51,$I$5:$I$404,"ja")=4,"compleet",COUNTIFS($A$5:$A$404,A51,$D$5:$D$404,D51,$I$5:$I$404,"ja")&amp;" van 4"))</f>
        <v/>
      </c>
    </row>
    <row r="52">
      <c r="A52" s="11" t="n"/>
      <c r="B52" s="11" t="n"/>
      <c r="C52" s="7" t="n"/>
      <c r="D52" s="11" t="n"/>
      <c r="E52" s="11" t="n"/>
      <c r="F52" s="11" t="n"/>
      <c r="G52" s="12" t="n"/>
      <c r="H52" s="11" t="n"/>
      <c r="I52" s="9" t="n"/>
      <c r="J52" s="9" t="n"/>
      <c r="K52" s="13">
        <f>IF(AND(H52="ja",J52="nee"),ROUND(37.5*G52/8,2),0)</f>
        <v/>
      </c>
      <c r="L52" s="9" t="n"/>
      <c r="M52" s="9" t="n"/>
      <c r="N52" s="11" t="n"/>
      <c r="O52" s="11">
        <f>IF(D52="","",IF(COUNTIFS($A$5:$A$404,A52,$D$5:$D$404,D52,$I$5:$I$404,"ja")=4,"compleet",COUNTIFS($A$5:$A$404,A52,$D$5:$D$404,D52,$I$5:$I$404,"ja")&amp;" van 4"))</f>
        <v/>
      </c>
    </row>
    <row r="53">
      <c r="A53" s="11" t="n"/>
      <c r="B53" s="11" t="n"/>
      <c r="C53" s="7" t="n"/>
      <c r="D53" s="11" t="n"/>
      <c r="E53" s="11" t="n"/>
      <c r="F53" s="11" t="n"/>
      <c r="G53" s="12" t="n"/>
      <c r="H53" s="11" t="n"/>
      <c r="I53" s="9" t="n"/>
      <c r="J53" s="9" t="n"/>
      <c r="K53" s="13">
        <f>IF(AND(H53="ja",J53="nee"),ROUND(37.5*G53/8,2),0)</f>
        <v/>
      </c>
      <c r="L53" s="9" t="n"/>
      <c r="M53" s="9" t="n"/>
      <c r="N53" s="11" t="n"/>
      <c r="O53" s="11">
        <f>IF(D53="","",IF(COUNTIFS($A$5:$A$404,A53,$D$5:$D$404,D53,$I$5:$I$404,"ja")=4,"compleet",COUNTIFS($A$5:$A$404,A53,$D$5:$D$404,D53,$I$5:$I$404,"ja")&amp;" van 4"))</f>
        <v/>
      </c>
    </row>
    <row r="54">
      <c r="A54" s="11" t="n"/>
      <c r="B54" s="11" t="n"/>
      <c r="C54" s="7" t="n"/>
      <c r="D54" s="11" t="n"/>
      <c r="E54" s="11" t="n"/>
      <c r="F54" s="11" t="n"/>
      <c r="G54" s="12" t="n"/>
      <c r="H54" s="11" t="n"/>
      <c r="I54" s="9" t="n"/>
      <c r="J54" s="9" t="n"/>
      <c r="K54" s="13">
        <f>IF(AND(H54="ja",J54="nee"),ROUND(37.5*G54/8,2),0)</f>
        <v/>
      </c>
      <c r="L54" s="9" t="n"/>
      <c r="M54" s="9" t="n"/>
      <c r="N54" s="11" t="n"/>
      <c r="O54" s="11">
        <f>IF(D54="","",IF(COUNTIFS($A$5:$A$404,A54,$D$5:$D$404,D54,$I$5:$I$404,"ja")=4,"compleet",COUNTIFS($A$5:$A$404,A54,$D$5:$D$404,D54,$I$5:$I$404,"ja")&amp;" van 4"))</f>
        <v/>
      </c>
    </row>
    <row r="55">
      <c r="A55" s="11" t="n"/>
      <c r="B55" s="11" t="n"/>
      <c r="C55" s="7" t="n"/>
      <c r="D55" s="11" t="n"/>
      <c r="E55" s="11" t="n"/>
      <c r="F55" s="11" t="n"/>
      <c r="G55" s="12" t="n"/>
      <c r="H55" s="11" t="n"/>
      <c r="I55" s="9" t="n"/>
      <c r="J55" s="9" t="n"/>
      <c r="K55" s="13">
        <f>IF(AND(H55="ja",J55="nee"),ROUND(37.5*G55/8,2),0)</f>
        <v/>
      </c>
      <c r="L55" s="9" t="n"/>
      <c r="M55" s="9" t="n"/>
      <c r="N55" s="11" t="n"/>
      <c r="O55" s="11">
        <f>IF(D55="","",IF(COUNTIFS($A$5:$A$404,A55,$D$5:$D$404,D55,$I$5:$I$404,"ja")=4,"compleet",COUNTIFS($A$5:$A$404,A55,$D$5:$D$404,D55,$I$5:$I$404,"ja")&amp;" van 4"))</f>
        <v/>
      </c>
    </row>
    <row r="56">
      <c r="A56" s="11" t="n"/>
      <c r="B56" s="11" t="n"/>
      <c r="C56" s="7" t="n"/>
      <c r="D56" s="11" t="n"/>
      <c r="E56" s="11" t="n"/>
      <c r="F56" s="11" t="n"/>
      <c r="G56" s="12" t="n"/>
      <c r="H56" s="11" t="n"/>
      <c r="I56" s="9" t="n"/>
      <c r="J56" s="9" t="n"/>
      <c r="K56" s="13">
        <f>IF(AND(H56="ja",J56="nee"),ROUND(37.5*G56/8,2),0)</f>
        <v/>
      </c>
      <c r="L56" s="9" t="n"/>
      <c r="M56" s="9" t="n"/>
      <c r="N56" s="11" t="n"/>
      <c r="O56" s="11">
        <f>IF(D56="","",IF(COUNTIFS($A$5:$A$404,A56,$D$5:$D$404,D56,$I$5:$I$404,"ja")=4,"compleet",COUNTIFS($A$5:$A$404,A56,$D$5:$D$404,D56,$I$5:$I$404,"ja")&amp;" van 4"))</f>
        <v/>
      </c>
    </row>
    <row r="57">
      <c r="A57" s="11" t="n"/>
      <c r="B57" s="11" t="n"/>
      <c r="C57" s="7" t="n"/>
      <c r="D57" s="11" t="n"/>
      <c r="E57" s="11" t="n"/>
      <c r="F57" s="11" t="n"/>
      <c r="G57" s="12" t="n"/>
      <c r="H57" s="11" t="n"/>
      <c r="I57" s="9" t="n"/>
      <c r="J57" s="9" t="n"/>
      <c r="K57" s="13">
        <f>IF(AND(H57="ja",J57="nee"),ROUND(37.5*G57/8,2),0)</f>
        <v/>
      </c>
      <c r="L57" s="9" t="n"/>
      <c r="M57" s="9" t="n"/>
      <c r="N57" s="11" t="n"/>
      <c r="O57" s="11">
        <f>IF(D57="","",IF(COUNTIFS($A$5:$A$404,A57,$D$5:$D$404,D57,$I$5:$I$404,"ja")=4,"compleet",COUNTIFS($A$5:$A$404,A57,$D$5:$D$404,D57,$I$5:$I$404,"ja")&amp;" van 4"))</f>
        <v/>
      </c>
    </row>
    <row r="58">
      <c r="A58" s="11" t="n"/>
      <c r="B58" s="11" t="n"/>
      <c r="C58" s="7" t="n"/>
      <c r="D58" s="11" t="n"/>
      <c r="E58" s="11" t="n"/>
      <c r="F58" s="11" t="n"/>
      <c r="G58" s="12" t="n"/>
      <c r="H58" s="11" t="n"/>
      <c r="I58" s="9" t="n"/>
      <c r="J58" s="9" t="n"/>
      <c r="K58" s="13">
        <f>IF(AND(H58="ja",J58="nee"),ROUND(37.5*G58/8,2),0)</f>
        <v/>
      </c>
      <c r="L58" s="9" t="n"/>
      <c r="M58" s="9" t="n"/>
      <c r="N58" s="11" t="n"/>
      <c r="O58" s="11">
        <f>IF(D58="","",IF(COUNTIFS($A$5:$A$404,A58,$D$5:$D$404,D58,$I$5:$I$404,"ja")=4,"compleet",COUNTIFS($A$5:$A$404,A58,$D$5:$D$404,D58,$I$5:$I$404,"ja")&amp;" van 4"))</f>
        <v/>
      </c>
    </row>
    <row r="59">
      <c r="A59" s="11" t="n"/>
      <c r="B59" s="11" t="n"/>
      <c r="C59" s="7" t="n"/>
      <c r="D59" s="11" t="n"/>
      <c r="E59" s="11" t="n"/>
      <c r="F59" s="11" t="n"/>
      <c r="G59" s="12" t="n"/>
      <c r="H59" s="11" t="n"/>
      <c r="I59" s="9" t="n"/>
      <c r="J59" s="9" t="n"/>
      <c r="K59" s="13">
        <f>IF(AND(H59="ja",J59="nee"),ROUND(37.5*G59/8,2),0)</f>
        <v/>
      </c>
      <c r="L59" s="9" t="n"/>
      <c r="M59" s="9" t="n"/>
      <c r="N59" s="11" t="n"/>
      <c r="O59" s="11">
        <f>IF(D59="","",IF(COUNTIFS($A$5:$A$404,A59,$D$5:$D$404,D59,$I$5:$I$404,"ja")=4,"compleet",COUNTIFS($A$5:$A$404,A59,$D$5:$D$404,D59,$I$5:$I$404,"ja")&amp;" van 4"))</f>
        <v/>
      </c>
    </row>
    <row r="60">
      <c r="A60" s="11" t="n"/>
      <c r="B60" s="11" t="n"/>
      <c r="C60" s="7" t="n"/>
      <c r="D60" s="11" t="n"/>
      <c r="E60" s="11" t="n"/>
      <c r="F60" s="11" t="n"/>
      <c r="G60" s="12" t="n"/>
      <c r="H60" s="11" t="n"/>
      <c r="I60" s="9" t="n"/>
      <c r="J60" s="9" t="n"/>
      <c r="K60" s="13">
        <f>IF(AND(H60="ja",J60="nee"),ROUND(37.5*G60/8,2),0)</f>
        <v/>
      </c>
      <c r="L60" s="9" t="n"/>
      <c r="M60" s="9" t="n"/>
      <c r="N60" s="11" t="n"/>
      <c r="O60" s="11">
        <f>IF(D60="","",IF(COUNTIFS($A$5:$A$404,A60,$D$5:$D$404,D60,$I$5:$I$404,"ja")=4,"compleet",COUNTIFS($A$5:$A$404,A60,$D$5:$D$404,D60,$I$5:$I$404,"ja")&amp;" van 4"))</f>
        <v/>
      </c>
    </row>
    <row r="61">
      <c r="A61" s="11" t="n"/>
      <c r="B61" s="11" t="n"/>
      <c r="C61" s="7" t="n"/>
      <c r="D61" s="11" t="n"/>
      <c r="E61" s="11" t="n"/>
      <c r="F61" s="11" t="n"/>
      <c r="G61" s="12" t="n"/>
      <c r="H61" s="11" t="n"/>
      <c r="I61" s="9" t="n"/>
      <c r="J61" s="9" t="n"/>
      <c r="K61" s="13">
        <f>IF(AND(H61="ja",J61="nee"),ROUND(37.5*G61/8,2),0)</f>
        <v/>
      </c>
      <c r="L61" s="9" t="n"/>
      <c r="M61" s="9" t="n"/>
      <c r="N61" s="11" t="n"/>
      <c r="O61" s="11">
        <f>IF(D61="","",IF(COUNTIFS($A$5:$A$404,A61,$D$5:$D$404,D61,$I$5:$I$404,"ja")=4,"compleet",COUNTIFS($A$5:$A$404,A61,$D$5:$D$404,D61,$I$5:$I$404,"ja")&amp;" van 4"))</f>
        <v/>
      </c>
    </row>
    <row r="62">
      <c r="A62" s="11" t="n"/>
      <c r="B62" s="11" t="n"/>
      <c r="C62" s="7" t="n"/>
      <c r="D62" s="11" t="n"/>
      <c r="E62" s="11" t="n"/>
      <c r="F62" s="11" t="n"/>
      <c r="G62" s="12" t="n"/>
      <c r="H62" s="11" t="n"/>
      <c r="I62" s="9" t="n"/>
      <c r="J62" s="9" t="n"/>
      <c r="K62" s="13">
        <f>IF(AND(H62="ja",J62="nee"),ROUND(37.5*G62/8,2),0)</f>
        <v/>
      </c>
      <c r="L62" s="9" t="n"/>
      <c r="M62" s="9" t="n"/>
      <c r="N62" s="11" t="n"/>
      <c r="O62" s="11">
        <f>IF(D62="","",IF(COUNTIFS($A$5:$A$404,A62,$D$5:$D$404,D62,$I$5:$I$404,"ja")=4,"compleet",COUNTIFS($A$5:$A$404,A62,$D$5:$D$404,D62,$I$5:$I$404,"ja")&amp;" van 4"))</f>
        <v/>
      </c>
    </row>
    <row r="63">
      <c r="A63" s="11" t="n"/>
      <c r="B63" s="11" t="n"/>
      <c r="C63" s="7" t="n"/>
      <c r="D63" s="11" t="n"/>
      <c r="E63" s="11" t="n"/>
      <c r="F63" s="11" t="n"/>
      <c r="G63" s="12" t="n"/>
      <c r="H63" s="11" t="n"/>
      <c r="I63" s="9" t="n"/>
      <c r="J63" s="9" t="n"/>
      <c r="K63" s="13">
        <f>IF(AND(H63="ja",J63="nee"),ROUND(37.5*G63/8,2),0)</f>
        <v/>
      </c>
      <c r="L63" s="9" t="n"/>
      <c r="M63" s="9" t="n"/>
      <c r="N63" s="11" t="n"/>
      <c r="O63" s="11">
        <f>IF(D63="","",IF(COUNTIFS($A$5:$A$404,A63,$D$5:$D$404,D63,$I$5:$I$404,"ja")=4,"compleet",COUNTIFS($A$5:$A$404,A63,$D$5:$D$404,D63,$I$5:$I$404,"ja")&amp;" van 4"))</f>
        <v/>
      </c>
    </row>
    <row r="64">
      <c r="A64" s="11" t="n"/>
      <c r="B64" s="11" t="n"/>
      <c r="C64" s="7" t="n"/>
      <c r="D64" s="11" t="n"/>
      <c r="E64" s="11" t="n"/>
      <c r="F64" s="11" t="n"/>
      <c r="G64" s="12" t="n"/>
      <c r="H64" s="11" t="n"/>
      <c r="I64" s="9" t="n"/>
      <c r="J64" s="9" t="n"/>
      <c r="K64" s="13">
        <f>IF(AND(H64="ja",J64="nee"),ROUND(37.5*G64/8,2),0)</f>
        <v/>
      </c>
      <c r="L64" s="9" t="n"/>
      <c r="M64" s="9" t="n"/>
      <c r="N64" s="11" t="n"/>
      <c r="O64" s="11">
        <f>IF(D64="","",IF(COUNTIFS($A$5:$A$404,A64,$D$5:$D$404,D64,$I$5:$I$404,"ja")=4,"compleet",COUNTIFS($A$5:$A$404,A64,$D$5:$D$404,D64,$I$5:$I$404,"ja")&amp;" van 4"))</f>
        <v/>
      </c>
    </row>
    <row r="65">
      <c r="A65" s="11" t="n"/>
      <c r="B65" s="11" t="n"/>
      <c r="C65" s="7" t="n"/>
      <c r="D65" s="11" t="n"/>
      <c r="E65" s="11" t="n"/>
      <c r="F65" s="11" t="n"/>
      <c r="G65" s="12" t="n"/>
      <c r="H65" s="11" t="n"/>
      <c r="I65" s="9" t="n"/>
      <c r="J65" s="9" t="n"/>
      <c r="K65" s="13">
        <f>IF(AND(H65="ja",J65="nee"),ROUND(37.5*G65/8,2),0)</f>
        <v/>
      </c>
      <c r="L65" s="9" t="n"/>
      <c r="M65" s="9" t="n"/>
      <c r="N65" s="11" t="n"/>
      <c r="O65" s="11">
        <f>IF(D65="","",IF(COUNTIFS($A$5:$A$404,A65,$D$5:$D$404,D65,$I$5:$I$404,"ja")=4,"compleet",COUNTIFS($A$5:$A$404,A65,$D$5:$D$404,D65,$I$5:$I$404,"ja")&amp;" van 4"))</f>
        <v/>
      </c>
    </row>
    <row r="66">
      <c r="A66" s="11" t="n"/>
      <c r="B66" s="11" t="n"/>
      <c r="C66" s="7" t="n"/>
      <c r="D66" s="11" t="n"/>
      <c r="E66" s="11" t="n"/>
      <c r="F66" s="11" t="n"/>
      <c r="G66" s="12" t="n"/>
      <c r="H66" s="11" t="n"/>
      <c r="I66" s="9" t="n"/>
      <c r="J66" s="9" t="n"/>
      <c r="K66" s="13">
        <f>IF(AND(H66="ja",J66="nee"),ROUND(37.5*G66/8,2),0)</f>
        <v/>
      </c>
      <c r="L66" s="9" t="n"/>
      <c r="M66" s="9" t="n"/>
      <c r="N66" s="11" t="n"/>
      <c r="O66" s="11">
        <f>IF(D66="","",IF(COUNTIFS($A$5:$A$404,A66,$D$5:$D$404,D66,$I$5:$I$404,"ja")=4,"compleet",COUNTIFS($A$5:$A$404,A66,$D$5:$D$404,D66,$I$5:$I$404,"ja")&amp;" van 4"))</f>
        <v/>
      </c>
    </row>
    <row r="67">
      <c r="A67" s="11" t="n"/>
      <c r="B67" s="11" t="n"/>
      <c r="C67" s="7" t="n"/>
      <c r="D67" s="11" t="n"/>
      <c r="E67" s="11" t="n"/>
      <c r="F67" s="11" t="n"/>
      <c r="G67" s="12" t="n"/>
      <c r="H67" s="11" t="n"/>
      <c r="I67" s="9" t="n"/>
      <c r="J67" s="9" t="n"/>
      <c r="K67" s="13">
        <f>IF(AND(H67="ja",J67="nee"),ROUND(37.5*G67/8,2),0)</f>
        <v/>
      </c>
      <c r="L67" s="9" t="n"/>
      <c r="M67" s="9" t="n"/>
      <c r="N67" s="11" t="n"/>
      <c r="O67" s="11">
        <f>IF(D67="","",IF(COUNTIFS($A$5:$A$404,A67,$D$5:$D$404,D67,$I$5:$I$404,"ja")=4,"compleet",COUNTIFS($A$5:$A$404,A67,$D$5:$D$404,D67,$I$5:$I$404,"ja")&amp;" van 4"))</f>
        <v/>
      </c>
    </row>
    <row r="68">
      <c r="A68" s="11" t="n"/>
      <c r="B68" s="11" t="n"/>
      <c r="C68" s="7" t="n"/>
      <c r="D68" s="11" t="n"/>
      <c r="E68" s="11" t="n"/>
      <c r="F68" s="11" t="n"/>
      <c r="G68" s="12" t="n"/>
      <c r="H68" s="11" t="n"/>
      <c r="I68" s="9" t="n"/>
      <c r="J68" s="9" t="n"/>
      <c r="K68" s="13">
        <f>IF(AND(H68="ja",J68="nee"),ROUND(37.5*G68/8,2),0)</f>
        <v/>
      </c>
      <c r="L68" s="9" t="n"/>
      <c r="M68" s="9" t="n"/>
      <c r="N68" s="11" t="n"/>
      <c r="O68" s="11">
        <f>IF(D68="","",IF(COUNTIFS($A$5:$A$404,A68,$D$5:$D$404,D68,$I$5:$I$404,"ja")=4,"compleet",COUNTIFS($A$5:$A$404,A68,$D$5:$D$404,D68,$I$5:$I$404,"ja")&amp;" van 4"))</f>
        <v/>
      </c>
    </row>
    <row r="69">
      <c r="A69" s="11" t="n"/>
      <c r="B69" s="11" t="n"/>
      <c r="C69" s="7" t="n"/>
      <c r="D69" s="11" t="n"/>
      <c r="E69" s="11" t="n"/>
      <c r="F69" s="11" t="n"/>
      <c r="G69" s="12" t="n"/>
      <c r="H69" s="11" t="n"/>
      <c r="I69" s="9" t="n"/>
      <c r="J69" s="9" t="n"/>
      <c r="K69" s="13">
        <f>IF(AND(H69="ja",J69="nee"),ROUND(37.5*G69/8,2),0)</f>
        <v/>
      </c>
      <c r="L69" s="9" t="n"/>
      <c r="M69" s="9" t="n"/>
      <c r="N69" s="11" t="n"/>
      <c r="O69" s="11">
        <f>IF(D69="","",IF(COUNTIFS($A$5:$A$404,A69,$D$5:$D$404,D69,$I$5:$I$404,"ja")=4,"compleet",COUNTIFS($A$5:$A$404,A69,$D$5:$D$404,D69,$I$5:$I$404,"ja")&amp;" van 4"))</f>
        <v/>
      </c>
    </row>
    <row r="70">
      <c r="A70" s="11" t="n"/>
      <c r="B70" s="11" t="n"/>
      <c r="C70" s="7" t="n"/>
      <c r="D70" s="11" t="n"/>
      <c r="E70" s="11" t="n"/>
      <c r="F70" s="11" t="n"/>
      <c r="G70" s="12" t="n"/>
      <c r="H70" s="11" t="n"/>
      <c r="I70" s="9" t="n"/>
      <c r="J70" s="9" t="n"/>
      <c r="K70" s="13">
        <f>IF(AND(H70="ja",J70="nee"),ROUND(37.5*G70/8,2),0)</f>
        <v/>
      </c>
      <c r="L70" s="9" t="n"/>
      <c r="M70" s="9" t="n"/>
      <c r="N70" s="11" t="n"/>
      <c r="O70" s="11">
        <f>IF(D70="","",IF(COUNTIFS($A$5:$A$404,A70,$D$5:$D$404,D70,$I$5:$I$404,"ja")=4,"compleet",COUNTIFS($A$5:$A$404,A70,$D$5:$D$404,D70,$I$5:$I$404,"ja")&amp;" van 4"))</f>
        <v/>
      </c>
    </row>
    <row r="71">
      <c r="A71" s="11" t="n"/>
      <c r="B71" s="11" t="n"/>
      <c r="C71" s="7" t="n"/>
      <c r="D71" s="11" t="n"/>
      <c r="E71" s="11" t="n"/>
      <c r="F71" s="11" t="n"/>
      <c r="G71" s="12" t="n"/>
      <c r="H71" s="11" t="n"/>
      <c r="I71" s="9" t="n"/>
      <c r="J71" s="9" t="n"/>
      <c r="K71" s="13">
        <f>IF(AND(H71="ja",J71="nee"),ROUND(37.5*G71/8,2),0)</f>
        <v/>
      </c>
      <c r="L71" s="9" t="n"/>
      <c r="M71" s="9" t="n"/>
      <c r="N71" s="11" t="n"/>
      <c r="O71" s="11">
        <f>IF(D71="","",IF(COUNTIFS($A$5:$A$404,A71,$D$5:$D$404,D71,$I$5:$I$404,"ja")=4,"compleet",COUNTIFS($A$5:$A$404,A71,$D$5:$D$404,D71,$I$5:$I$404,"ja")&amp;" van 4"))</f>
        <v/>
      </c>
    </row>
    <row r="72">
      <c r="A72" s="11" t="n"/>
      <c r="B72" s="11" t="n"/>
      <c r="C72" s="7" t="n"/>
      <c r="D72" s="11" t="n"/>
      <c r="E72" s="11" t="n"/>
      <c r="F72" s="11" t="n"/>
      <c r="G72" s="12" t="n"/>
      <c r="H72" s="11" t="n"/>
      <c r="I72" s="9" t="n"/>
      <c r="J72" s="9" t="n"/>
      <c r="K72" s="13">
        <f>IF(AND(H72="ja",J72="nee"),ROUND(37.5*G72/8,2),0)</f>
        <v/>
      </c>
      <c r="L72" s="9" t="n"/>
      <c r="M72" s="9" t="n"/>
      <c r="N72" s="11" t="n"/>
      <c r="O72" s="11">
        <f>IF(D72="","",IF(COUNTIFS($A$5:$A$404,A72,$D$5:$D$404,D72,$I$5:$I$404,"ja")=4,"compleet",COUNTIFS($A$5:$A$404,A72,$D$5:$D$404,D72,$I$5:$I$404,"ja")&amp;" van 4"))</f>
        <v/>
      </c>
    </row>
    <row r="73">
      <c r="A73" s="11" t="n"/>
      <c r="B73" s="11" t="n"/>
      <c r="C73" s="7" t="n"/>
      <c r="D73" s="11" t="n"/>
      <c r="E73" s="11" t="n"/>
      <c r="F73" s="11" t="n"/>
      <c r="G73" s="12" t="n"/>
      <c r="H73" s="11" t="n"/>
      <c r="I73" s="9" t="n"/>
      <c r="J73" s="9" t="n"/>
      <c r="K73" s="13">
        <f>IF(AND(H73="ja",J73="nee"),ROUND(37.5*G73/8,2),0)</f>
        <v/>
      </c>
      <c r="L73" s="9" t="n"/>
      <c r="M73" s="9" t="n"/>
      <c r="N73" s="11" t="n"/>
      <c r="O73" s="11">
        <f>IF(D73="","",IF(COUNTIFS($A$5:$A$404,A73,$D$5:$D$404,D73,$I$5:$I$404,"ja")=4,"compleet",COUNTIFS($A$5:$A$404,A73,$D$5:$D$404,D73,$I$5:$I$404,"ja")&amp;" van 4"))</f>
        <v/>
      </c>
    </row>
    <row r="74">
      <c r="A74" s="11" t="n"/>
      <c r="B74" s="11" t="n"/>
      <c r="C74" s="7" t="n"/>
      <c r="D74" s="11" t="n"/>
      <c r="E74" s="11" t="n"/>
      <c r="F74" s="11" t="n"/>
      <c r="G74" s="12" t="n"/>
      <c r="H74" s="11" t="n"/>
      <c r="I74" s="9" t="n"/>
      <c r="J74" s="9" t="n"/>
      <c r="K74" s="13">
        <f>IF(AND(H74="ja",J74="nee"),ROUND(37.5*G74/8,2),0)</f>
        <v/>
      </c>
      <c r="L74" s="9" t="n"/>
      <c r="M74" s="9" t="n"/>
      <c r="N74" s="11" t="n"/>
      <c r="O74" s="11">
        <f>IF(D74="","",IF(COUNTIFS($A$5:$A$404,A74,$D$5:$D$404,D74,$I$5:$I$404,"ja")=4,"compleet",COUNTIFS($A$5:$A$404,A74,$D$5:$D$404,D74,$I$5:$I$404,"ja")&amp;" van 4"))</f>
        <v/>
      </c>
    </row>
    <row r="75">
      <c r="A75" s="11" t="n"/>
      <c r="B75" s="11" t="n"/>
      <c r="C75" s="7" t="n"/>
      <c r="D75" s="11" t="n"/>
      <c r="E75" s="11" t="n"/>
      <c r="F75" s="11" t="n"/>
      <c r="G75" s="12" t="n"/>
      <c r="H75" s="11" t="n"/>
      <c r="I75" s="9" t="n"/>
      <c r="J75" s="9" t="n"/>
      <c r="K75" s="13">
        <f>IF(AND(H75="ja",J75="nee"),ROUND(37.5*G75/8,2),0)</f>
        <v/>
      </c>
      <c r="L75" s="9" t="n"/>
      <c r="M75" s="9" t="n"/>
      <c r="N75" s="11" t="n"/>
      <c r="O75" s="11">
        <f>IF(D75="","",IF(COUNTIFS($A$5:$A$404,A75,$D$5:$D$404,D75,$I$5:$I$404,"ja")=4,"compleet",COUNTIFS($A$5:$A$404,A75,$D$5:$D$404,D75,$I$5:$I$404,"ja")&amp;" van 4"))</f>
        <v/>
      </c>
    </row>
    <row r="76">
      <c r="A76" s="11" t="n"/>
      <c r="B76" s="11" t="n"/>
      <c r="C76" s="7" t="n"/>
      <c r="D76" s="11" t="n"/>
      <c r="E76" s="11" t="n"/>
      <c r="F76" s="11" t="n"/>
      <c r="G76" s="12" t="n"/>
      <c r="H76" s="11" t="n"/>
      <c r="I76" s="9" t="n"/>
      <c r="J76" s="9" t="n"/>
      <c r="K76" s="13">
        <f>IF(AND(H76="ja",J76="nee"),ROUND(37.5*G76/8,2),0)</f>
        <v/>
      </c>
      <c r="L76" s="9" t="n"/>
      <c r="M76" s="9" t="n"/>
      <c r="N76" s="11" t="n"/>
      <c r="O76" s="11">
        <f>IF(D76="","",IF(COUNTIFS($A$5:$A$404,A76,$D$5:$D$404,D76,$I$5:$I$404,"ja")=4,"compleet",COUNTIFS($A$5:$A$404,A76,$D$5:$D$404,D76,$I$5:$I$404,"ja")&amp;" van 4"))</f>
        <v/>
      </c>
    </row>
    <row r="77">
      <c r="A77" s="11" t="n"/>
      <c r="B77" s="11" t="n"/>
      <c r="C77" s="7" t="n"/>
      <c r="D77" s="11" t="n"/>
      <c r="E77" s="11" t="n"/>
      <c r="F77" s="11" t="n"/>
      <c r="G77" s="12" t="n"/>
      <c r="H77" s="11" t="n"/>
      <c r="I77" s="9" t="n"/>
      <c r="J77" s="9" t="n"/>
      <c r="K77" s="13">
        <f>IF(AND(H77="ja",J77="nee"),ROUND(37.5*G77/8,2),0)</f>
        <v/>
      </c>
      <c r="L77" s="9" t="n"/>
      <c r="M77" s="9" t="n"/>
      <c r="N77" s="11" t="n"/>
      <c r="O77" s="11">
        <f>IF(D77="","",IF(COUNTIFS($A$5:$A$404,A77,$D$5:$D$404,D77,$I$5:$I$404,"ja")=4,"compleet",COUNTIFS($A$5:$A$404,A77,$D$5:$D$404,D77,$I$5:$I$404,"ja")&amp;" van 4"))</f>
        <v/>
      </c>
    </row>
    <row r="78">
      <c r="A78" s="11" t="n"/>
      <c r="B78" s="11" t="n"/>
      <c r="C78" s="7" t="n"/>
      <c r="D78" s="11" t="n"/>
      <c r="E78" s="11" t="n"/>
      <c r="F78" s="11" t="n"/>
      <c r="G78" s="12" t="n"/>
      <c r="H78" s="11" t="n"/>
      <c r="I78" s="9" t="n"/>
      <c r="J78" s="9" t="n"/>
      <c r="K78" s="13">
        <f>IF(AND(H78="ja",J78="nee"),ROUND(37.5*G78/8,2),0)</f>
        <v/>
      </c>
      <c r="L78" s="9" t="n"/>
      <c r="M78" s="9" t="n"/>
      <c r="N78" s="11" t="n"/>
      <c r="O78" s="11">
        <f>IF(D78="","",IF(COUNTIFS($A$5:$A$404,A78,$D$5:$D$404,D78,$I$5:$I$404,"ja")=4,"compleet",COUNTIFS($A$5:$A$404,A78,$D$5:$D$404,D78,$I$5:$I$404,"ja")&amp;" van 4"))</f>
        <v/>
      </c>
    </row>
    <row r="79">
      <c r="A79" s="11" t="n"/>
      <c r="B79" s="11" t="n"/>
      <c r="C79" s="7" t="n"/>
      <c r="D79" s="11" t="n"/>
      <c r="E79" s="11" t="n"/>
      <c r="F79" s="11" t="n"/>
      <c r="G79" s="12" t="n"/>
      <c r="H79" s="11" t="n"/>
      <c r="I79" s="9" t="n"/>
      <c r="J79" s="9" t="n"/>
      <c r="K79" s="13">
        <f>IF(AND(H79="ja",J79="nee"),ROUND(37.5*G79/8,2),0)</f>
        <v/>
      </c>
      <c r="L79" s="9" t="n"/>
      <c r="M79" s="9" t="n"/>
      <c r="N79" s="11" t="n"/>
      <c r="O79" s="11">
        <f>IF(D79="","",IF(COUNTIFS($A$5:$A$404,A79,$D$5:$D$404,D79,$I$5:$I$404,"ja")=4,"compleet",COUNTIFS($A$5:$A$404,A79,$D$5:$D$404,D79,$I$5:$I$404,"ja")&amp;" van 4"))</f>
        <v/>
      </c>
    </row>
    <row r="80">
      <c r="A80" s="11" t="n"/>
      <c r="B80" s="11" t="n"/>
      <c r="C80" s="7" t="n"/>
      <c r="D80" s="11" t="n"/>
      <c r="E80" s="11" t="n"/>
      <c r="F80" s="11" t="n"/>
      <c r="G80" s="12" t="n"/>
      <c r="H80" s="11" t="n"/>
      <c r="I80" s="9" t="n"/>
      <c r="J80" s="9" t="n"/>
      <c r="K80" s="13">
        <f>IF(AND(H80="ja",J80="nee"),ROUND(37.5*G80/8,2),0)</f>
        <v/>
      </c>
      <c r="L80" s="9" t="n"/>
      <c r="M80" s="9" t="n"/>
      <c r="N80" s="11" t="n"/>
      <c r="O80" s="11">
        <f>IF(D80="","",IF(COUNTIFS($A$5:$A$404,A80,$D$5:$D$404,D80,$I$5:$I$404,"ja")=4,"compleet",COUNTIFS($A$5:$A$404,A80,$D$5:$D$404,D80,$I$5:$I$404,"ja")&amp;" van 4"))</f>
        <v/>
      </c>
    </row>
    <row r="81">
      <c r="A81" s="11" t="n"/>
      <c r="B81" s="11" t="n"/>
      <c r="C81" s="7" t="n"/>
      <c r="D81" s="11" t="n"/>
      <c r="E81" s="11" t="n"/>
      <c r="F81" s="11" t="n"/>
      <c r="G81" s="12" t="n"/>
      <c r="H81" s="11" t="n"/>
      <c r="I81" s="9" t="n"/>
      <c r="J81" s="9" t="n"/>
      <c r="K81" s="13">
        <f>IF(AND(H81="ja",J81="nee"),ROUND(37.5*G81/8,2),0)</f>
        <v/>
      </c>
      <c r="L81" s="9" t="n"/>
      <c r="M81" s="9" t="n"/>
      <c r="N81" s="11" t="n"/>
      <c r="O81" s="11">
        <f>IF(D81="","",IF(COUNTIFS($A$5:$A$404,A81,$D$5:$D$404,D81,$I$5:$I$404,"ja")=4,"compleet",COUNTIFS($A$5:$A$404,A81,$D$5:$D$404,D81,$I$5:$I$404,"ja")&amp;" van 4"))</f>
        <v/>
      </c>
    </row>
    <row r="82">
      <c r="A82" s="11" t="n"/>
      <c r="B82" s="11" t="n"/>
      <c r="C82" s="7" t="n"/>
      <c r="D82" s="11" t="n"/>
      <c r="E82" s="11" t="n"/>
      <c r="F82" s="11" t="n"/>
      <c r="G82" s="12" t="n"/>
      <c r="H82" s="11" t="n"/>
      <c r="I82" s="9" t="n"/>
      <c r="J82" s="9" t="n"/>
      <c r="K82" s="13">
        <f>IF(AND(H82="ja",J82="nee"),ROUND(37.5*G82/8,2),0)</f>
        <v/>
      </c>
      <c r="L82" s="9" t="n"/>
      <c r="M82" s="9" t="n"/>
      <c r="N82" s="11" t="n"/>
      <c r="O82" s="11">
        <f>IF(D82="","",IF(COUNTIFS($A$5:$A$404,A82,$D$5:$D$404,D82,$I$5:$I$404,"ja")=4,"compleet",COUNTIFS($A$5:$A$404,A82,$D$5:$D$404,D82,$I$5:$I$404,"ja")&amp;" van 4"))</f>
        <v/>
      </c>
    </row>
    <row r="83">
      <c r="A83" s="11" t="n"/>
      <c r="B83" s="11" t="n"/>
      <c r="C83" s="7" t="n"/>
      <c r="D83" s="11" t="n"/>
      <c r="E83" s="11" t="n"/>
      <c r="F83" s="11" t="n"/>
      <c r="G83" s="12" t="n"/>
      <c r="H83" s="11" t="n"/>
      <c r="I83" s="9" t="n"/>
      <c r="J83" s="9" t="n"/>
      <c r="K83" s="13">
        <f>IF(AND(H83="ja",J83="nee"),ROUND(37.5*G83/8,2),0)</f>
        <v/>
      </c>
      <c r="L83" s="9" t="n"/>
      <c r="M83" s="9" t="n"/>
      <c r="N83" s="11" t="n"/>
      <c r="O83" s="11">
        <f>IF(D83="","",IF(COUNTIFS($A$5:$A$404,A83,$D$5:$D$404,D83,$I$5:$I$404,"ja")=4,"compleet",COUNTIFS($A$5:$A$404,A83,$D$5:$D$404,D83,$I$5:$I$404,"ja")&amp;" van 4"))</f>
        <v/>
      </c>
    </row>
    <row r="84">
      <c r="A84" s="11" t="n"/>
      <c r="B84" s="11" t="n"/>
      <c r="C84" s="7" t="n"/>
      <c r="D84" s="11" t="n"/>
      <c r="E84" s="11" t="n"/>
      <c r="F84" s="11" t="n"/>
      <c r="G84" s="12" t="n"/>
      <c r="H84" s="11" t="n"/>
      <c r="I84" s="9" t="n"/>
      <c r="J84" s="9" t="n"/>
      <c r="K84" s="13">
        <f>IF(AND(H84="ja",J84="nee"),ROUND(37.5*G84/8,2),0)</f>
        <v/>
      </c>
      <c r="L84" s="9" t="n"/>
      <c r="M84" s="9" t="n"/>
      <c r="N84" s="11" t="n"/>
      <c r="O84" s="11">
        <f>IF(D84="","",IF(COUNTIFS($A$5:$A$404,A84,$D$5:$D$404,D84,$I$5:$I$404,"ja")=4,"compleet",COUNTIFS($A$5:$A$404,A84,$D$5:$D$404,D84,$I$5:$I$404,"ja")&amp;" van 4"))</f>
        <v/>
      </c>
    </row>
    <row r="85">
      <c r="A85" s="11" t="n"/>
      <c r="B85" s="11" t="n"/>
      <c r="C85" s="7" t="n"/>
      <c r="D85" s="11" t="n"/>
      <c r="E85" s="11" t="n"/>
      <c r="F85" s="11" t="n"/>
      <c r="G85" s="12" t="n"/>
      <c r="H85" s="11" t="n"/>
      <c r="I85" s="9" t="n"/>
      <c r="J85" s="9" t="n"/>
      <c r="K85" s="13">
        <f>IF(AND(H85="ja",J85="nee"),ROUND(37.5*G85/8,2),0)</f>
        <v/>
      </c>
      <c r="L85" s="9" t="n"/>
      <c r="M85" s="9" t="n"/>
      <c r="N85" s="11" t="n"/>
      <c r="O85" s="11">
        <f>IF(D85="","",IF(COUNTIFS($A$5:$A$404,A85,$D$5:$D$404,D85,$I$5:$I$404,"ja")=4,"compleet",COUNTIFS($A$5:$A$404,A85,$D$5:$D$404,D85,$I$5:$I$404,"ja")&amp;" van 4"))</f>
        <v/>
      </c>
    </row>
    <row r="86">
      <c r="A86" s="11" t="n"/>
      <c r="B86" s="11" t="n"/>
      <c r="C86" s="7" t="n"/>
      <c r="D86" s="11" t="n"/>
      <c r="E86" s="11" t="n"/>
      <c r="F86" s="11" t="n"/>
      <c r="G86" s="12" t="n"/>
      <c r="H86" s="11" t="n"/>
      <c r="I86" s="9" t="n"/>
      <c r="J86" s="9" t="n"/>
      <c r="K86" s="13">
        <f>IF(AND(H86="ja",J86="nee"),ROUND(37.5*G86/8,2),0)</f>
        <v/>
      </c>
      <c r="L86" s="9" t="n"/>
      <c r="M86" s="9" t="n"/>
      <c r="N86" s="11" t="n"/>
      <c r="O86" s="11">
        <f>IF(D86="","",IF(COUNTIFS($A$5:$A$404,A86,$D$5:$D$404,D86,$I$5:$I$404,"ja")=4,"compleet",COUNTIFS($A$5:$A$404,A86,$D$5:$D$404,D86,$I$5:$I$404,"ja")&amp;" van 4"))</f>
        <v/>
      </c>
    </row>
    <row r="87">
      <c r="A87" s="11" t="n"/>
      <c r="B87" s="11" t="n"/>
      <c r="C87" s="7" t="n"/>
      <c r="D87" s="11" t="n"/>
      <c r="E87" s="11" t="n"/>
      <c r="F87" s="11" t="n"/>
      <c r="G87" s="12" t="n"/>
      <c r="H87" s="11" t="n"/>
      <c r="I87" s="9" t="n"/>
      <c r="J87" s="9" t="n"/>
      <c r="K87" s="13">
        <f>IF(AND(H87="ja",J87="nee"),ROUND(37.5*G87/8,2),0)</f>
        <v/>
      </c>
      <c r="L87" s="9" t="n"/>
      <c r="M87" s="9" t="n"/>
      <c r="N87" s="11" t="n"/>
      <c r="O87" s="11">
        <f>IF(D87="","",IF(COUNTIFS($A$5:$A$404,A87,$D$5:$D$404,D87,$I$5:$I$404,"ja")=4,"compleet",COUNTIFS($A$5:$A$404,A87,$D$5:$D$404,D87,$I$5:$I$404,"ja")&amp;" van 4"))</f>
        <v/>
      </c>
    </row>
    <row r="88">
      <c r="A88" s="11" t="n"/>
      <c r="B88" s="11" t="n"/>
      <c r="C88" s="7" t="n"/>
      <c r="D88" s="11" t="n"/>
      <c r="E88" s="11" t="n"/>
      <c r="F88" s="11" t="n"/>
      <c r="G88" s="12" t="n"/>
      <c r="H88" s="11" t="n"/>
      <c r="I88" s="9" t="n"/>
      <c r="J88" s="9" t="n"/>
      <c r="K88" s="13">
        <f>IF(AND(H88="ja",J88="nee"),ROUND(37.5*G88/8,2),0)</f>
        <v/>
      </c>
      <c r="L88" s="9" t="n"/>
      <c r="M88" s="9" t="n"/>
      <c r="N88" s="11" t="n"/>
      <c r="O88" s="11">
        <f>IF(D88="","",IF(COUNTIFS($A$5:$A$404,A88,$D$5:$D$404,D88,$I$5:$I$404,"ja")=4,"compleet",COUNTIFS($A$5:$A$404,A88,$D$5:$D$404,D88,$I$5:$I$404,"ja")&amp;" van 4"))</f>
        <v/>
      </c>
    </row>
    <row r="89">
      <c r="A89" s="11" t="n"/>
      <c r="B89" s="11" t="n"/>
      <c r="C89" s="7" t="n"/>
      <c r="D89" s="11" t="n"/>
      <c r="E89" s="11" t="n"/>
      <c r="F89" s="11" t="n"/>
      <c r="G89" s="12" t="n"/>
      <c r="H89" s="11" t="n"/>
      <c r="I89" s="9" t="n"/>
      <c r="J89" s="9" t="n"/>
      <c r="K89" s="13">
        <f>IF(AND(H89="ja",J89="nee"),ROUND(37.5*G89/8,2),0)</f>
        <v/>
      </c>
      <c r="L89" s="9" t="n"/>
      <c r="M89" s="9" t="n"/>
      <c r="N89" s="11" t="n"/>
      <c r="O89" s="11">
        <f>IF(D89="","",IF(COUNTIFS($A$5:$A$404,A89,$D$5:$D$404,D89,$I$5:$I$404,"ja")=4,"compleet",COUNTIFS($A$5:$A$404,A89,$D$5:$D$404,D89,$I$5:$I$404,"ja")&amp;" van 4"))</f>
        <v/>
      </c>
    </row>
    <row r="90">
      <c r="A90" s="11" t="n"/>
      <c r="B90" s="11" t="n"/>
      <c r="C90" s="7" t="n"/>
      <c r="D90" s="11" t="n"/>
      <c r="E90" s="11" t="n"/>
      <c r="F90" s="11" t="n"/>
      <c r="G90" s="12" t="n"/>
      <c r="H90" s="11" t="n"/>
      <c r="I90" s="9" t="n"/>
      <c r="J90" s="9" t="n"/>
      <c r="K90" s="13">
        <f>IF(AND(H90="ja",J90="nee"),ROUND(37.5*G90/8,2),0)</f>
        <v/>
      </c>
      <c r="L90" s="9" t="n"/>
      <c r="M90" s="9" t="n"/>
      <c r="N90" s="11" t="n"/>
      <c r="O90" s="11">
        <f>IF(D90="","",IF(COUNTIFS($A$5:$A$404,A90,$D$5:$D$404,D90,$I$5:$I$404,"ja")=4,"compleet",COUNTIFS($A$5:$A$404,A90,$D$5:$D$404,D90,$I$5:$I$404,"ja")&amp;" van 4"))</f>
        <v/>
      </c>
    </row>
    <row r="91">
      <c r="A91" s="11" t="n"/>
      <c r="B91" s="11" t="n"/>
      <c r="C91" s="7" t="n"/>
      <c r="D91" s="11" t="n"/>
      <c r="E91" s="11" t="n"/>
      <c r="F91" s="11" t="n"/>
      <c r="G91" s="12" t="n"/>
      <c r="H91" s="11" t="n"/>
      <c r="I91" s="9" t="n"/>
      <c r="J91" s="9" t="n"/>
      <c r="K91" s="13">
        <f>IF(AND(H91="ja",J91="nee"),ROUND(37.5*G91/8,2),0)</f>
        <v/>
      </c>
      <c r="L91" s="9" t="n"/>
      <c r="M91" s="9" t="n"/>
      <c r="N91" s="11" t="n"/>
      <c r="O91" s="11">
        <f>IF(D91="","",IF(COUNTIFS($A$5:$A$404,A91,$D$5:$D$404,D91,$I$5:$I$404,"ja")=4,"compleet",COUNTIFS($A$5:$A$404,A91,$D$5:$D$404,D91,$I$5:$I$404,"ja")&amp;" van 4"))</f>
        <v/>
      </c>
    </row>
    <row r="92">
      <c r="A92" s="11" t="n"/>
      <c r="B92" s="11" t="n"/>
      <c r="C92" s="7" t="n"/>
      <c r="D92" s="11" t="n"/>
      <c r="E92" s="11" t="n"/>
      <c r="F92" s="11" t="n"/>
      <c r="G92" s="12" t="n"/>
      <c r="H92" s="11" t="n"/>
      <c r="I92" s="9" t="n"/>
      <c r="J92" s="9" t="n"/>
      <c r="K92" s="13">
        <f>IF(AND(H92="ja",J92="nee"),ROUND(37.5*G92/8,2),0)</f>
        <v/>
      </c>
      <c r="L92" s="9" t="n"/>
      <c r="M92" s="9" t="n"/>
      <c r="N92" s="11" t="n"/>
      <c r="O92" s="11">
        <f>IF(D92="","",IF(COUNTIFS($A$5:$A$404,A92,$D$5:$D$404,D92,$I$5:$I$404,"ja")=4,"compleet",COUNTIFS($A$5:$A$404,A92,$D$5:$D$404,D92,$I$5:$I$404,"ja")&amp;" van 4"))</f>
        <v/>
      </c>
    </row>
    <row r="93">
      <c r="A93" s="11" t="n"/>
      <c r="B93" s="11" t="n"/>
      <c r="C93" s="7" t="n"/>
      <c r="D93" s="11" t="n"/>
      <c r="E93" s="11" t="n"/>
      <c r="F93" s="11" t="n"/>
      <c r="G93" s="12" t="n"/>
      <c r="H93" s="11" t="n"/>
      <c r="I93" s="9" t="n"/>
      <c r="J93" s="9" t="n"/>
      <c r="K93" s="13">
        <f>IF(AND(H93="ja",J93="nee"),ROUND(37.5*G93/8,2),0)</f>
        <v/>
      </c>
      <c r="L93" s="9" t="n"/>
      <c r="M93" s="9" t="n"/>
      <c r="N93" s="11" t="n"/>
      <c r="O93" s="11">
        <f>IF(D93="","",IF(COUNTIFS($A$5:$A$404,A93,$D$5:$D$404,D93,$I$5:$I$404,"ja")=4,"compleet",COUNTIFS($A$5:$A$404,A93,$D$5:$D$404,D93,$I$5:$I$404,"ja")&amp;" van 4"))</f>
        <v/>
      </c>
    </row>
    <row r="94">
      <c r="A94" s="11" t="n"/>
      <c r="B94" s="11" t="n"/>
      <c r="C94" s="7" t="n"/>
      <c r="D94" s="11" t="n"/>
      <c r="E94" s="11" t="n"/>
      <c r="F94" s="11" t="n"/>
      <c r="G94" s="12" t="n"/>
      <c r="H94" s="11" t="n"/>
      <c r="I94" s="9" t="n"/>
      <c r="J94" s="9" t="n"/>
      <c r="K94" s="13">
        <f>IF(AND(H94="ja",J94="nee"),ROUND(37.5*G94/8,2),0)</f>
        <v/>
      </c>
      <c r="L94" s="9" t="n"/>
      <c r="M94" s="9" t="n"/>
      <c r="N94" s="11" t="n"/>
      <c r="O94" s="11">
        <f>IF(D94="","",IF(COUNTIFS($A$5:$A$404,A94,$D$5:$D$404,D94,$I$5:$I$404,"ja")=4,"compleet",COUNTIFS($A$5:$A$404,A94,$D$5:$D$404,D94,$I$5:$I$404,"ja")&amp;" van 4"))</f>
        <v/>
      </c>
    </row>
    <row r="95">
      <c r="A95" s="11" t="n"/>
      <c r="B95" s="11" t="n"/>
      <c r="C95" s="7" t="n"/>
      <c r="D95" s="11" t="n"/>
      <c r="E95" s="11" t="n"/>
      <c r="F95" s="11" t="n"/>
      <c r="G95" s="12" t="n"/>
      <c r="H95" s="11" t="n"/>
      <c r="I95" s="9" t="n"/>
      <c r="J95" s="9" t="n"/>
      <c r="K95" s="13">
        <f>IF(AND(H95="ja",J95="nee"),ROUND(37.5*G95/8,2),0)</f>
        <v/>
      </c>
      <c r="L95" s="9" t="n"/>
      <c r="M95" s="9" t="n"/>
      <c r="N95" s="11" t="n"/>
      <c r="O95" s="11">
        <f>IF(D95="","",IF(COUNTIFS($A$5:$A$404,A95,$D$5:$D$404,D95,$I$5:$I$404,"ja")=4,"compleet",COUNTIFS($A$5:$A$404,A95,$D$5:$D$404,D95,$I$5:$I$404,"ja")&amp;" van 4"))</f>
        <v/>
      </c>
    </row>
    <row r="96">
      <c r="A96" s="11" t="n"/>
      <c r="B96" s="11" t="n"/>
      <c r="C96" s="7" t="n"/>
      <c r="D96" s="11" t="n"/>
      <c r="E96" s="11" t="n"/>
      <c r="F96" s="11" t="n"/>
      <c r="G96" s="12" t="n"/>
      <c r="H96" s="11" t="n"/>
      <c r="I96" s="9" t="n"/>
      <c r="J96" s="9" t="n"/>
      <c r="K96" s="13">
        <f>IF(AND(H96="ja",J96="nee"),ROUND(37.5*G96/8,2),0)</f>
        <v/>
      </c>
      <c r="L96" s="9" t="n"/>
      <c r="M96" s="9" t="n"/>
      <c r="N96" s="11" t="n"/>
      <c r="O96" s="11">
        <f>IF(D96="","",IF(COUNTIFS($A$5:$A$404,A96,$D$5:$D$404,D96,$I$5:$I$404,"ja")=4,"compleet",COUNTIFS($A$5:$A$404,A96,$D$5:$D$404,D96,$I$5:$I$404,"ja")&amp;" van 4"))</f>
        <v/>
      </c>
    </row>
    <row r="97">
      <c r="A97" s="11" t="n"/>
      <c r="B97" s="11" t="n"/>
      <c r="C97" s="7" t="n"/>
      <c r="D97" s="11" t="n"/>
      <c r="E97" s="11" t="n"/>
      <c r="F97" s="11" t="n"/>
      <c r="G97" s="12" t="n"/>
      <c r="H97" s="11" t="n"/>
      <c r="I97" s="9" t="n"/>
      <c r="J97" s="9" t="n"/>
      <c r="K97" s="13">
        <f>IF(AND(H97="ja",J97="nee"),ROUND(37.5*G97/8,2),0)</f>
        <v/>
      </c>
      <c r="L97" s="9" t="n"/>
      <c r="M97" s="9" t="n"/>
      <c r="N97" s="11" t="n"/>
      <c r="O97" s="11">
        <f>IF(D97="","",IF(COUNTIFS($A$5:$A$404,A97,$D$5:$D$404,D97,$I$5:$I$404,"ja")=4,"compleet",COUNTIFS($A$5:$A$404,A97,$D$5:$D$404,D97,$I$5:$I$404,"ja")&amp;" van 4"))</f>
        <v/>
      </c>
    </row>
    <row r="98">
      <c r="A98" s="11" t="n"/>
      <c r="B98" s="11" t="n"/>
      <c r="C98" s="7" t="n"/>
      <c r="D98" s="11" t="n"/>
      <c r="E98" s="11" t="n"/>
      <c r="F98" s="11" t="n"/>
      <c r="G98" s="12" t="n"/>
      <c r="H98" s="11" t="n"/>
      <c r="I98" s="9" t="n"/>
      <c r="J98" s="9" t="n"/>
      <c r="K98" s="13">
        <f>IF(AND(H98="ja",J98="nee"),ROUND(37.5*G98/8,2),0)</f>
        <v/>
      </c>
      <c r="L98" s="9" t="n"/>
      <c r="M98" s="9" t="n"/>
      <c r="N98" s="11" t="n"/>
      <c r="O98" s="11">
        <f>IF(D98="","",IF(COUNTIFS($A$5:$A$404,A98,$D$5:$D$404,D98,$I$5:$I$404,"ja")=4,"compleet",COUNTIFS($A$5:$A$404,A98,$D$5:$D$404,D98,$I$5:$I$404,"ja")&amp;" van 4"))</f>
        <v/>
      </c>
    </row>
    <row r="99">
      <c r="A99" s="11" t="n"/>
      <c r="B99" s="11" t="n"/>
      <c r="C99" s="7" t="n"/>
      <c r="D99" s="11" t="n"/>
      <c r="E99" s="11" t="n"/>
      <c r="F99" s="11" t="n"/>
      <c r="G99" s="12" t="n"/>
      <c r="H99" s="11" t="n"/>
      <c r="I99" s="9" t="n"/>
      <c r="J99" s="9" t="n"/>
      <c r="K99" s="13">
        <f>IF(AND(H99="ja",J99="nee"),ROUND(37.5*G99/8,2),0)</f>
        <v/>
      </c>
      <c r="L99" s="9" t="n"/>
      <c r="M99" s="9" t="n"/>
      <c r="N99" s="11" t="n"/>
      <c r="O99" s="11">
        <f>IF(D99="","",IF(COUNTIFS($A$5:$A$404,A99,$D$5:$D$404,D99,$I$5:$I$404,"ja")=4,"compleet",COUNTIFS($A$5:$A$404,A99,$D$5:$D$404,D99,$I$5:$I$404,"ja")&amp;" van 4"))</f>
        <v/>
      </c>
    </row>
    <row r="100">
      <c r="A100" s="11" t="n"/>
      <c r="B100" s="11" t="n"/>
      <c r="C100" s="7" t="n"/>
      <c r="D100" s="11" t="n"/>
      <c r="E100" s="11" t="n"/>
      <c r="F100" s="11" t="n"/>
      <c r="G100" s="12" t="n"/>
      <c r="H100" s="11" t="n"/>
      <c r="I100" s="9" t="n"/>
      <c r="J100" s="9" t="n"/>
      <c r="K100" s="13">
        <f>IF(AND(H100="ja",J100="nee"),ROUND(37.5*G100/8,2),0)</f>
        <v/>
      </c>
      <c r="L100" s="9" t="n"/>
      <c r="M100" s="9" t="n"/>
      <c r="N100" s="11" t="n"/>
      <c r="O100" s="11">
        <f>IF(D100="","",IF(COUNTIFS($A$5:$A$404,A100,$D$5:$D$404,D100,$I$5:$I$404,"ja")=4,"compleet",COUNTIFS($A$5:$A$404,A100,$D$5:$D$404,D100,$I$5:$I$404,"ja")&amp;" van 4"))</f>
        <v/>
      </c>
    </row>
    <row r="101">
      <c r="A101" s="11" t="n"/>
      <c r="B101" s="11" t="n"/>
      <c r="C101" s="7" t="n"/>
      <c r="D101" s="11" t="n"/>
      <c r="E101" s="11" t="n"/>
      <c r="F101" s="11" t="n"/>
      <c r="G101" s="12" t="n"/>
      <c r="H101" s="11" t="n"/>
      <c r="I101" s="9" t="n"/>
      <c r="J101" s="9" t="n"/>
      <c r="K101" s="13">
        <f>IF(AND(H101="ja",J101="nee"),ROUND(37.5*G101/8,2),0)</f>
        <v/>
      </c>
      <c r="L101" s="9" t="n"/>
      <c r="M101" s="9" t="n"/>
      <c r="N101" s="11" t="n"/>
      <c r="O101" s="11">
        <f>IF(D101="","",IF(COUNTIFS($A$5:$A$404,A101,$D$5:$D$404,D101,$I$5:$I$404,"ja")=4,"compleet",COUNTIFS($A$5:$A$404,A101,$D$5:$D$404,D101,$I$5:$I$404,"ja")&amp;" van 4"))</f>
        <v/>
      </c>
    </row>
    <row r="102">
      <c r="A102" s="11" t="n"/>
      <c r="B102" s="11" t="n"/>
      <c r="C102" s="7" t="n"/>
      <c r="D102" s="11" t="n"/>
      <c r="E102" s="11" t="n"/>
      <c r="F102" s="11" t="n"/>
      <c r="G102" s="12" t="n"/>
      <c r="H102" s="11" t="n"/>
      <c r="I102" s="9" t="n"/>
      <c r="J102" s="9" t="n"/>
      <c r="K102" s="13">
        <f>IF(AND(H102="ja",J102="nee"),ROUND(37.5*G102/8,2),0)</f>
        <v/>
      </c>
      <c r="L102" s="9" t="n"/>
      <c r="M102" s="9" t="n"/>
      <c r="N102" s="11" t="n"/>
      <c r="O102" s="11">
        <f>IF(D102="","",IF(COUNTIFS($A$5:$A$404,A102,$D$5:$D$404,D102,$I$5:$I$404,"ja")=4,"compleet",COUNTIFS($A$5:$A$404,A102,$D$5:$D$404,D102,$I$5:$I$404,"ja")&amp;" van 4"))</f>
        <v/>
      </c>
    </row>
    <row r="103">
      <c r="A103" s="11" t="n"/>
      <c r="B103" s="11" t="n"/>
      <c r="C103" s="7" t="n"/>
      <c r="D103" s="11" t="n"/>
      <c r="E103" s="11" t="n"/>
      <c r="F103" s="11" t="n"/>
      <c r="G103" s="12" t="n"/>
      <c r="H103" s="11" t="n"/>
      <c r="I103" s="9" t="n"/>
      <c r="J103" s="9" t="n"/>
      <c r="K103" s="13">
        <f>IF(AND(H103="ja",J103="nee"),ROUND(37.5*G103/8,2),0)</f>
        <v/>
      </c>
      <c r="L103" s="9" t="n"/>
      <c r="M103" s="9" t="n"/>
      <c r="N103" s="11" t="n"/>
      <c r="O103" s="11">
        <f>IF(D103="","",IF(COUNTIFS($A$5:$A$404,A103,$D$5:$D$404,D103,$I$5:$I$404,"ja")=4,"compleet",COUNTIFS($A$5:$A$404,A103,$D$5:$D$404,D103,$I$5:$I$404,"ja")&amp;" van 4"))</f>
        <v/>
      </c>
    </row>
    <row r="104">
      <c r="A104" s="11" t="n"/>
      <c r="B104" s="11" t="n"/>
      <c r="C104" s="7" t="n"/>
      <c r="D104" s="11" t="n"/>
      <c r="E104" s="11" t="n"/>
      <c r="F104" s="11" t="n"/>
      <c r="G104" s="12" t="n"/>
      <c r="H104" s="11" t="n"/>
      <c r="I104" s="9" t="n"/>
      <c r="J104" s="9" t="n"/>
      <c r="K104" s="13">
        <f>IF(AND(H104="ja",J104="nee"),ROUND(37.5*G104/8,2),0)</f>
        <v/>
      </c>
      <c r="L104" s="9" t="n"/>
      <c r="M104" s="9" t="n"/>
      <c r="N104" s="11" t="n"/>
      <c r="O104" s="11">
        <f>IF(D104="","",IF(COUNTIFS($A$5:$A$404,A104,$D$5:$D$404,D104,$I$5:$I$404,"ja")=4,"compleet",COUNTIFS($A$5:$A$404,A104,$D$5:$D$404,D104,$I$5:$I$404,"ja")&amp;" van 4"))</f>
        <v/>
      </c>
    </row>
    <row r="105">
      <c r="A105" s="11" t="n"/>
      <c r="B105" s="11" t="n"/>
      <c r="C105" s="7" t="n"/>
      <c r="D105" s="11" t="n"/>
      <c r="E105" s="11" t="n"/>
      <c r="F105" s="11" t="n"/>
      <c r="G105" s="12" t="n"/>
      <c r="H105" s="11" t="n"/>
      <c r="I105" s="9" t="n"/>
      <c r="J105" s="9" t="n"/>
      <c r="K105" s="13">
        <f>IF(AND(H105="ja",J105="nee"),ROUND(37.5*G105/8,2),0)</f>
        <v/>
      </c>
      <c r="L105" s="9" t="n"/>
      <c r="M105" s="9" t="n"/>
      <c r="N105" s="11" t="n"/>
      <c r="O105" s="11">
        <f>IF(D105="","",IF(COUNTIFS($A$5:$A$404,A105,$D$5:$D$404,D105,$I$5:$I$404,"ja")=4,"compleet",COUNTIFS($A$5:$A$404,A105,$D$5:$D$404,D105,$I$5:$I$404,"ja")&amp;" van 4"))</f>
        <v/>
      </c>
    </row>
    <row r="106">
      <c r="A106" s="11" t="n"/>
      <c r="B106" s="11" t="n"/>
      <c r="C106" s="7" t="n"/>
      <c r="D106" s="11" t="n"/>
      <c r="E106" s="11" t="n"/>
      <c r="F106" s="11" t="n"/>
      <c r="G106" s="12" t="n"/>
      <c r="H106" s="11" t="n"/>
      <c r="I106" s="9" t="n"/>
      <c r="J106" s="9" t="n"/>
      <c r="K106" s="13">
        <f>IF(AND(H106="ja",J106="nee"),ROUND(37.5*G106/8,2),0)</f>
        <v/>
      </c>
      <c r="L106" s="9" t="n"/>
      <c r="M106" s="9" t="n"/>
      <c r="N106" s="11" t="n"/>
      <c r="O106" s="11">
        <f>IF(D106="","",IF(COUNTIFS($A$5:$A$404,A106,$D$5:$D$404,D106,$I$5:$I$404,"ja")=4,"compleet",COUNTIFS($A$5:$A$404,A106,$D$5:$D$404,D106,$I$5:$I$404,"ja")&amp;" van 4"))</f>
        <v/>
      </c>
    </row>
    <row r="107">
      <c r="A107" s="11" t="n"/>
      <c r="B107" s="11" t="n"/>
      <c r="C107" s="7" t="n"/>
      <c r="D107" s="11" t="n"/>
      <c r="E107" s="11" t="n"/>
      <c r="F107" s="11" t="n"/>
      <c r="G107" s="12" t="n"/>
      <c r="H107" s="11" t="n"/>
      <c r="I107" s="9" t="n"/>
      <c r="J107" s="9" t="n"/>
      <c r="K107" s="13">
        <f>IF(AND(H107="ja",J107="nee"),ROUND(37.5*G107/8,2),0)</f>
        <v/>
      </c>
      <c r="L107" s="9" t="n"/>
      <c r="M107" s="9" t="n"/>
      <c r="N107" s="11" t="n"/>
      <c r="O107" s="11">
        <f>IF(D107="","",IF(COUNTIFS($A$5:$A$404,A107,$D$5:$D$404,D107,$I$5:$I$404,"ja")=4,"compleet",COUNTIFS($A$5:$A$404,A107,$D$5:$D$404,D107,$I$5:$I$404,"ja")&amp;" van 4"))</f>
        <v/>
      </c>
    </row>
    <row r="108">
      <c r="A108" s="11" t="n"/>
      <c r="B108" s="11" t="n"/>
      <c r="C108" s="7" t="n"/>
      <c r="D108" s="11" t="n"/>
      <c r="E108" s="11" t="n"/>
      <c r="F108" s="11" t="n"/>
      <c r="G108" s="12" t="n"/>
      <c r="H108" s="11" t="n"/>
      <c r="I108" s="9" t="n"/>
      <c r="J108" s="9" t="n"/>
      <c r="K108" s="13">
        <f>IF(AND(H108="ja",J108="nee"),ROUND(37.5*G108/8,2),0)</f>
        <v/>
      </c>
      <c r="L108" s="9" t="n"/>
      <c r="M108" s="9" t="n"/>
      <c r="N108" s="11" t="n"/>
      <c r="O108" s="11">
        <f>IF(D108="","",IF(COUNTIFS($A$5:$A$404,A108,$D$5:$D$404,D108,$I$5:$I$404,"ja")=4,"compleet",COUNTIFS($A$5:$A$404,A108,$D$5:$D$404,D108,$I$5:$I$404,"ja")&amp;" van 4"))</f>
        <v/>
      </c>
    </row>
    <row r="109">
      <c r="A109" s="11" t="n"/>
      <c r="B109" s="11" t="n"/>
      <c r="C109" s="7" t="n"/>
      <c r="D109" s="11" t="n"/>
      <c r="E109" s="11" t="n"/>
      <c r="F109" s="11" t="n"/>
      <c r="G109" s="12" t="n"/>
      <c r="H109" s="11" t="n"/>
      <c r="I109" s="9" t="n"/>
      <c r="J109" s="9" t="n"/>
      <c r="K109" s="13">
        <f>IF(AND(H109="ja",J109="nee"),ROUND(37.5*G109/8,2),0)</f>
        <v/>
      </c>
      <c r="L109" s="9" t="n"/>
      <c r="M109" s="9" t="n"/>
      <c r="N109" s="11" t="n"/>
      <c r="O109" s="11">
        <f>IF(D109="","",IF(COUNTIFS($A$5:$A$404,A109,$D$5:$D$404,D109,$I$5:$I$404,"ja")=4,"compleet",COUNTIFS($A$5:$A$404,A109,$D$5:$D$404,D109,$I$5:$I$404,"ja")&amp;" van 4"))</f>
        <v/>
      </c>
    </row>
    <row r="110">
      <c r="A110" s="11" t="n"/>
      <c r="B110" s="11" t="n"/>
      <c r="C110" s="7" t="n"/>
      <c r="D110" s="11" t="n"/>
      <c r="E110" s="11" t="n"/>
      <c r="F110" s="11" t="n"/>
      <c r="G110" s="12" t="n"/>
      <c r="H110" s="11" t="n"/>
      <c r="I110" s="9" t="n"/>
      <c r="J110" s="9" t="n"/>
      <c r="K110" s="13">
        <f>IF(AND(H110="ja",J110="nee"),ROUND(37.5*G110/8,2),0)</f>
        <v/>
      </c>
      <c r="L110" s="9" t="n"/>
      <c r="M110" s="9" t="n"/>
      <c r="N110" s="11" t="n"/>
      <c r="O110" s="11">
        <f>IF(D110="","",IF(COUNTIFS($A$5:$A$404,A110,$D$5:$D$404,D110,$I$5:$I$404,"ja")=4,"compleet",COUNTIFS($A$5:$A$404,A110,$D$5:$D$404,D110,$I$5:$I$404,"ja")&amp;" van 4"))</f>
        <v/>
      </c>
    </row>
    <row r="111">
      <c r="A111" s="11" t="n"/>
      <c r="B111" s="11" t="n"/>
      <c r="C111" s="7" t="n"/>
      <c r="D111" s="11" t="n"/>
      <c r="E111" s="11" t="n"/>
      <c r="F111" s="11" t="n"/>
      <c r="G111" s="12" t="n"/>
      <c r="H111" s="11" t="n"/>
      <c r="I111" s="9" t="n"/>
      <c r="J111" s="9" t="n"/>
      <c r="K111" s="13">
        <f>IF(AND(H111="ja",J111="nee"),ROUND(37.5*G111/8,2),0)</f>
        <v/>
      </c>
      <c r="L111" s="9" t="n"/>
      <c r="M111" s="9" t="n"/>
      <c r="N111" s="11" t="n"/>
      <c r="O111" s="11">
        <f>IF(D111="","",IF(COUNTIFS($A$5:$A$404,A111,$D$5:$D$404,D111,$I$5:$I$404,"ja")=4,"compleet",COUNTIFS($A$5:$A$404,A111,$D$5:$D$404,D111,$I$5:$I$404,"ja")&amp;" van 4"))</f>
        <v/>
      </c>
    </row>
    <row r="112">
      <c r="A112" s="11" t="n"/>
      <c r="B112" s="11" t="n"/>
      <c r="C112" s="7" t="n"/>
      <c r="D112" s="11" t="n"/>
      <c r="E112" s="11" t="n"/>
      <c r="F112" s="11" t="n"/>
      <c r="G112" s="12" t="n"/>
      <c r="H112" s="11" t="n"/>
      <c r="I112" s="9" t="n"/>
      <c r="J112" s="9" t="n"/>
      <c r="K112" s="13">
        <f>IF(AND(H112="ja",J112="nee"),ROUND(37.5*G112/8,2),0)</f>
        <v/>
      </c>
      <c r="L112" s="9" t="n"/>
      <c r="M112" s="9" t="n"/>
      <c r="N112" s="11" t="n"/>
      <c r="O112" s="11">
        <f>IF(D112="","",IF(COUNTIFS($A$5:$A$404,A112,$D$5:$D$404,D112,$I$5:$I$404,"ja")=4,"compleet",COUNTIFS($A$5:$A$404,A112,$D$5:$D$404,D112,$I$5:$I$404,"ja")&amp;" van 4"))</f>
        <v/>
      </c>
    </row>
    <row r="113">
      <c r="A113" s="11" t="n"/>
      <c r="B113" s="11" t="n"/>
      <c r="C113" s="7" t="n"/>
      <c r="D113" s="11" t="n"/>
      <c r="E113" s="11" t="n"/>
      <c r="F113" s="11" t="n"/>
      <c r="G113" s="12" t="n"/>
      <c r="H113" s="11" t="n"/>
      <c r="I113" s="9" t="n"/>
      <c r="J113" s="9" t="n"/>
      <c r="K113" s="13">
        <f>IF(AND(H113="ja",J113="nee"),ROUND(37.5*G113/8,2),0)</f>
        <v/>
      </c>
      <c r="L113" s="9" t="n"/>
      <c r="M113" s="9" t="n"/>
      <c r="N113" s="11" t="n"/>
      <c r="O113" s="11">
        <f>IF(D113="","",IF(COUNTIFS($A$5:$A$404,A113,$D$5:$D$404,D113,$I$5:$I$404,"ja")=4,"compleet",COUNTIFS($A$5:$A$404,A113,$D$5:$D$404,D113,$I$5:$I$404,"ja")&amp;" van 4"))</f>
        <v/>
      </c>
    </row>
    <row r="114">
      <c r="A114" s="11" t="n"/>
      <c r="B114" s="11" t="n"/>
      <c r="C114" s="7" t="n"/>
      <c r="D114" s="11" t="n"/>
      <c r="E114" s="11" t="n"/>
      <c r="F114" s="11" t="n"/>
      <c r="G114" s="12" t="n"/>
      <c r="H114" s="11" t="n"/>
      <c r="I114" s="9" t="n"/>
      <c r="J114" s="9" t="n"/>
      <c r="K114" s="13">
        <f>IF(AND(H114="ja",J114="nee"),ROUND(37.5*G114/8,2),0)</f>
        <v/>
      </c>
      <c r="L114" s="9" t="n"/>
      <c r="M114" s="9" t="n"/>
      <c r="N114" s="11" t="n"/>
      <c r="O114" s="11">
        <f>IF(D114="","",IF(COUNTIFS($A$5:$A$404,A114,$D$5:$D$404,D114,$I$5:$I$404,"ja")=4,"compleet",COUNTIFS($A$5:$A$404,A114,$D$5:$D$404,D114,$I$5:$I$404,"ja")&amp;" van 4"))</f>
        <v/>
      </c>
    </row>
    <row r="115">
      <c r="A115" s="11" t="n"/>
      <c r="B115" s="11" t="n"/>
      <c r="C115" s="7" t="n"/>
      <c r="D115" s="11" t="n"/>
      <c r="E115" s="11" t="n"/>
      <c r="F115" s="11" t="n"/>
      <c r="G115" s="12" t="n"/>
      <c r="H115" s="11" t="n"/>
      <c r="I115" s="9" t="n"/>
      <c r="J115" s="9" t="n"/>
      <c r="K115" s="13">
        <f>IF(AND(H115="ja",J115="nee"),ROUND(37.5*G115/8,2),0)</f>
        <v/>
      </c>
      <c r="L115" s="9" t="n"/>
      <c r="M115" s="9" t="n"/>
      <c r="N115" s="11" t="n"/>
      <c r="O115" s="11">
        <f>IF(D115="","",IF(COUNTIFS($A$5:$A$404,A115,$D$5:$D$404,D115,$I$5:$I$404,"ja")=4,"compleet",COUNTIFS($A$5:$A$404,A115,$D$5:$D$404,D115,$I$5:$I$404,"ja")&amp;" van 4"))</f>
        <v/>
      </c>
    </row>
    <row r="116">
      <c r="A116" s="11" t="n"/>
      <c r="B116" s="11" t="n"/>
      <c r="C116" s="7" t="n"/>
      <c r="D116" s="11" t="n"/>
      <c r="E116" s="11" t="n"/>
      <c r="F116" s="11" t="n"/>
      <c r="G116" s="12" t="n"/>
      <c r="H116" s="11" t="n"/>
      <c r="I116" s="9" t="n"/>
      <c r="J116" s="9" t="n"/>
      <c r="K116" s="13">
        <f>IF(AND(H116="ja",J116="nee"),ROUND(37.5*G116/8,2),0)</f>
        <v/>
      </c>
      <c r="L116" s="9" t="n"/>
      <c r="M116" s="9" t="n"/>
      <c r="N116" s="11" t="n"/>
      <c r="O116" s="11">
        <f>IF(D116="","",IF(COUNTIFS($A$5:$A$404,A116,$D$5:$D$404,D116,$I$5:$I$404,"ja")=4,"compleet",COUNTIFS($A$5:$A$404,A116,$D$5:$D$404,D116,$I$5:$I$404,"ja")&amp;" van 4"))</f>
        <v/>
      </c>
    </row>
    <row r="117">
      <c r="A117" s="11" t="n"/>
      <c r="B117" s="11" t="n"/>
      <c r="C117" s="7" t="n"/>
      <c r="D117" s="11" t="n"/>
      <c r="E117" s="11" t="n"/>
      <c r="F117" s="11" t="n"/>
      <c r="G117" s="12" t="n"/>
      <c r="H117" s="11" t="n"/>
      <c r="I117" s="9" t="n"/>
      <c r="J117" s="9" t="n"/>
      <c r="K117" s="13">
        <f>IF(AND(H117="ja",J117="nee"),ROUND(37.5*G117/8,2),0)</f>
        <v/>
      </c>
      <c r="L117" s="9" t="n"/>
      <c r="M117" s="9" t="n"/>
      <c r="N117" s="11" t="n"/>
      <c r="O117" s="11">
        <f>IF(D117="","",IF(COUNTIFS($A$5:$A$404,A117,$D$5:$D$404,D117,$I$5:$I$404,"ja")=4,"compleet",COUNTIFS($A$5:$A$404,A117,$D$5:$D$404,D117,$I$5:$I$404,"ja")&amp;" van 4"))</f>
        <v/>
      </c>
    </row>
    <row r="118">
      <c r="A118" s="11" t="n"/>
      <c r="B118" s="11" t="n"/>
      <c r="C118" s="7" t="n"/>
      <c r="D118" s="11" t="n"/>
      <c r="E118" s="11" t="n"/>
      <c r="F118" s="11" t="n"/>
      <c r="G118" s="12" t="n"/>
      <c r="H118" s="11" t="n"/>
      <c r="I118" s="9" t="n"/>
      <c r="J118" s="9" t="n"/>
      <c r="K118" s="13">
        <f>IF(AND(H118="ja",J118="nee"),ROUND(37.5*G118/8,2),0)</f>
        <v/>
      </c>
      <c r="L118" s="9" t="n"/>
      <c r="M118" s="9" t="n"/>
      <c r="N118" s="11" t="n"/>
      <c r="O118" s="11">
        <f>IF(D118="","",IF(COUNTIFS($A$5:$A$404,A118,$D$5:$D$404,D118,$I$5:$I$404,"ja")=4,"compleet",COUNTIFS($A$5:$A$404,A118,$D$5:$D$404,D118,$I$5:$I$404,"ja")&amp;" van 4"))</f>
        <v/>
      </c>
    </row>
    <row r="119">
      <c r="A119" s="11" t="n"/>
      <c r="B119" s="11" t="n"/>
      <c r="C119" s="7" t="n"/>
      <c r="D119" s="11" t="n"/>
      <c r="E119" s="11" t="n"/>
      <c r="F119" s="11" t="n"/>
      <c r="G119" s="12" t="n"/>
      <c r="H119" s="11" t="n"/>
      <c r="I119" s="9" t="n"/>
      <c r="J119" s="9" t="n"/>
      <c r="K119" s="13">
        <f>IF(AND(H119="ja",J119="nee"),ROUND(37.5*G119/8,2),0)</f>
        <v/>
      </c>
      <c r="L119" s="9" t="n"/>
      <c r="M119" s="9" t="n"/>
      <c r="N119" s="11" t="n"/>
      <c r="O119" s="11">
        <f>IF(D119="","",IF(COUNTIFS($A$5:$A$404,A119,$D$5:$D$404,D119,$I$5:$I$404,"ja")=4,"compleet",COUNTIFS($A$5:$A$404,A119,$D$5:$D$404,D119,$I$5:$I$404,"ja")&amp;" van 4"))</f>
        <v/>
      </c>
    </row>
    <row r="120">
      <c r="A120" s="11" t="n"/>
      <c r="B120" s="11" t="n"/>
      <c r="C120" s="7" t="n"/>
      <c r="D120" s="11" t="n"/>
      <c r="E120" s="11" t="n"/>
      <c r="F120" s="11" t="n"/>
      <c r="G120" s="12" t="n"/>
      <c r="H120" s="11" t="n"/>
      <c r="I120" s="9" t="n"/>
      <c r="J120" s="9" t="n"/>
      <c r="K120" s="13">
        <f>IF(AND(H120="ja",J120="nee"),ROUND(37.5*G120/8,2),0)</f>
        <v/>
      </c>
      <c r="L120" s="9" t="n"/>
      <c r="M120" s="9" t="n"/>
      <c r="N120" s="11" t="n"/>
      <c r="O120" s="11">
        <f>IF(D120="","",IF(COUNTIFS($A$5:$A$404,A120,$D$5:$D$404,D120,$I$5:$I$404,"ja")=4,"compleet",COUNTIFS($A$5:$A$404,A120,$D$5:$D$404,D120,$I$5:$I$404,"ja")&amp;" van 4"))</f>
        <v/>
      </c>
    </row>
    <row r="121">
      <c r="A121" s="11" t="n"/>
      <c r="B121" s="11" t="n"/>
      <c r="C121" s="7" t="n"/>
      <c r="D121" s="11" t="n"/>
      <c r="E121" s="11" t="n"/>
      <c r="F121" s="11" t="n"/>
      <c r="G121" s="12" t="n"/>
      <c r="H121" s="11" t="n"/>
      <c r="I121" s="9" t="n"/>
      <c r="J121" s="9" t="n"/>
      <c r="K121" s="13">
        <f>IF(AND(H121="ja",J121="nee"),ROUND(37.5*G121/8,2),0)</f>
        <v/>
      </c>
      <c r="L121" s="9" t="n"/>
      <c r="M121" s="9" t="n"/>
      <c r="N121" s="11" t="n"/>
      <c r="O121" s="11">
        <f>IF(D121="","",IF(COUNTIFS($A$5:$A$404,A121,$D$5:$D$404,D121,$I$5:$I$404,"ja")=4,"compleet",COUNTIFS($A$5:$A$404,A121,$D$5:$D$404,D121,$I$5:$I$404,"ja")&amp;" van 4"))</f>
        <v/>
      </c>
    </row>
    <row r="122">
      <c r="A122" s="11" t="n"/>
      <c r="B122" s="11" t="n"/>
      <c r="C122" s="7" t="n"/>
      <c r="D122" s="11" t="n"/>
      <c r="E122" s="11" t="n"/>
      <c r="F122" s="11" t="n"/>
      <c r="G122" s="12" t="n"/>
      <c r="H122" s="11" t="n"/>
      <c r="I122" s="9" t="n"/>
      <c r="J122" s="9" t="n"/>
      <c r="K122" s="13">
        <f>IF(AND(H122="ja",J122="nee"),ROUND(37.5*G122/8,2),0)</f>
        <v/>
      </c>
      <c r="L122" s="9" t="n"/>
      <c r="M122" s="9" t="n"/>
      <c r="N122" s="11" t="n"/>
      <c r="O122" s="11">
        <f>IF(D122="","",IF(COUNTIFS($A$5:$A$404,A122,$D$5:$D$404,D122,$I$5:$I$404,"ja")=4,"compleet",COUNTIFS($A$5:$A$404,A122,$D$5:$D$404,D122,$I$5:$I$404,"ja")&amp;" van 4"))</f>
        <v/>
      </c>
    </row>
    <row r="123">
      <c r="A123" s="11" t="n"/>
      <c r="B123" s="11" t="n"/>
      <c r="C123" s="7" t="n"/>
      <c r="D123" s="11" t="n"/>
      <c r="E123" s="11" t="n"/>
      <c r="F123" s="11" t="n"/>
      <c r="G123" s="12" t="n"/>
      <c r="H123" s="11" t="n"/>
      <c r="I123" s="9" t="n"/>
      <c r="J123" s="9" t="n"/>
      <c r="K123" s="13">
        <f>IF(AND(H123="ja",J123="nee"),ROUND(37.5*G123/8,2),0)</f>
        <v/>
      </c>
      <c r="L123" s="9" t="n"/>
      <c r="M123" s="9" t="n"/>
      <c r="N123" s="11" t="n"/>
      <c r="O123" s="11">
        <f>IF(D123="","",IF(COUNTIFS($A$5:$A$404,A123,$D$5:$D$404,D123,$I$5:$I$404,"ja")=4,"compleet",COUNTIFS($A$5:$A$404,A123,$D$5:$D$404,D123,$I$5:$I$404,"ja")&amp;" van 4"))</f>
        <v/>
      </c>
    </row>
    <row r="124">
      <c r="A124" s="11" t="n"/>
      <c r="B124" s="11" t="n"/>
      <c r="C124" s="7" t="n"/>
      <c r="D124" s="11" t="n"/>
      <c r="E124" s="11" t="n"/>
      <c r="F124" s="11" t="n"/>
      <c r="G124" s="12" t="n"/>
      <c r="H124" s="11" t="n"/>
      <c r="I124" s="9" t="n"/>
      <c r="J124" s="9" t="n"/>
      <c r="K124" s="13">
        <f>IF(AND(H124="ja",J124="nee"),ROUND(37.5*G124/8,2),0)</f>
        <v/>
      </c>
      <c r="L124" s="9" t="n"/>
      <c r="M124" s="9" t="n"/>
      <c r="N124" s="11" t="n"/>
      <c r="O124" s="11">
        <f>IF(D124="","",IF(COUNTIFS($A$5:$A$404,A124,$D$5:$D$404,D124,$I$5:$I$404,"ja")=4,"compleet",COUNTIFS($A$5:$A$404,A124,$D$5:$D$404,D124,$I$5:$I$404,"ja")&amp;" van 4"))</f>
        <v/>
      </c>
    </row>
    <row r="125">
      <c r="A125" s="11" t="n"/>
      <c r="B125" s="11" t="n"/>
      <c r="C125" s="7" t="n"/>
      <c r="D125" s="11" t="n"/>
      <c r="E125" s="11" t="n"/>
      <c r="F125" s="11" t="n"/>
      <c r="G125" s="12" t="n"/>
      <c r="H125" s="11" t="n"/>
      <c r="I125" s="9" t="n"/>
      <c r="J125" s="9" t="n"/>
      <c r="K125" s="13">
        <f>IF(AND(H125="ja",J125="nee"),ROUND(37.5*G125/8,2),0)</f>
        <v/>
      </c>
      <c r="L125" s="9" t="n"/>
      <c r="M125" s="9" t="n"/>
      <c r="N125" s="11" t="n"/>
      <c r="O125" s="11">
        <f>IF(D125="","",IF(COUNTIFS($A$5:$A$404,A125,$D$5:$D$404,D125,$I$5:$I$404,"ja")=4,"compleet",COUNTIFS($A$5:$A$404,A125,$D$5:$D$404,D125,$I$5:$I$404,"ja")&amp;" van 4"))</f>
        <v/>
      </c>
    </row>
    <row r="126">
      <c r="A126" s="11" t="n"/>
      <c r="B126" s="11" t="n"/>
      <c r="C126" s="7" t="n"/>
      <c r="D126" s="11" t="n"/>
      <c r="E126" s="11" t="n"/>
      <c r="F126" s="11" t="n"/>
      <c r="G126" s="12" t="n"/>
      <c r="H126" s="11" t="n"/>
      <c r="I126" s="9" t="n"/>
      <c r="J126" s="9" t="n"/>
      <c r="K126" s="13">
        <f>IF(AND(H126="ja",J126="nee"),ROUND(37.5*G126/8,2),0)</f>
        <v/>
      </c>
      <c r="L126" s="9" t="n"/>
      <c r="M126" s="9" t="n"/>
      <c r="N126" s="11" t="n"/>
      <c r="O126" s="11">
        <f>IF(D126="","",IF(COUNTIFS($A$5:$A$404,A126,$D$5:$D$404,D126,$I$5:$I$404,"ja")=4,"compleet",COUNTIFS($A$5:$A$404,A126,$D$5:$D$404,D126,$I$5:$I$404,"ja")&amp;" van 4"))</f>
        <v/>
      </c>
    </row>
    <row r="127">
      <c r="A127" s="11" t="n"/>
      <c r="B127" s="11" t="n"/>
      <c r="C127" s="7" t="n"/>
      <c r="D127" s="11" t="n"/>
      <c r="E127" s="11" t="n"/>
      <c r="F127" s="11" t="n"/>
      <c r="G127" s="12" t="n"/>
      <c r="H127" s="11" t="n"/>
      <c r="I127" s="9" t="n"/>
      <c r="J127" s="9" t="n"/>
      <c r="K127" s="13">
        <f>IF(AND(H127="ja",J127="nee"),ROUND(37.5*G127/8,2),0)</f>
        <v/>
      </c>
      <c r="L127" s="9" t="n"/>
      <c r="M127" s="9" t="n"/>
      <c r="N127" s="11" t="n"/>
      <c r="O127" s="11">
        <f>IF(D127="","",IF(COUNTIFS($A$5:$A$404,A127,$D$5:$D$404,D127,$I$5:$I$404,"ja")=4,"compleet",COUNTIFS($A$5:$A$404,A127,$D$5:$D$404,D127,$I$5:$I$404,"ja")&amp;" van 4"))</f>
        <v/>
      </c>
    </row>
    <row r="128">
      <c r="A128" s="11" t="n"/>
      <c r="B128" s="11" t="n"/>
      <c r="C128" s="7" t="n"/>
      <c r="D128" s="11" t="n"/>
      <c r="E128" s="11" t="n"/>
      <c r="F128" s="11" t="n"/>
      <c r="G128" s="12" t="n"/>
      <c r="H128" s="11" t="n"/>
      <c r="I128" s="9" t="n"/>
      <c r="J128" s="9" t="n"/>
      <c r="K128" s="13">
        <f>IF(AND(H128="ja",J128="nee"),ROUND(37.5*G128/8,2),0)</f>
        <v/>
      </c>
      <c r="L128" s="9" t="n"/>
      <c r="M128" s="9" t="n"/>
      <c r="N128" s="11" t="n"/>
      <c r="O128" s="11">
        <f>IF(D128="","",IF(COUNTIFS($A$5:$A$404,A128,$D$5:$D$404,D128,$I$5:$I$404,"ja")=4,"compleet",COUNTIFS($A$5:$A$404,A128,$D$5:$D$404,D128,$I$5:$I$404,"ja")&amp;" van 4"))</f>
        <v/>
      </c>
    </row>
    <row r="129">
      <c r="A129" s="11" t="n"/>
      <c r="B129" s="11" t="n"/>
      <c r="C129" s="7" t="n"/>
      <c r="D129" s="11" t="n"/>
      <c r="E129" s="11" t="n"/>
      <c r="F129" s="11" t="n"/>
      <c r="G129" s="12" t="n"/>
      <c r="H129" s="11" t="n"/>
      <c r="I129" s="9" t="n"/>
      <c r="J129" s="9" t="n"/>
      <c r="K129" s="13">
        <f>IF(AND(H129="ja",J129="nee"),ROUND(37.5*G129/8,2),0)</f>
        <v/>
      </c>
      <c r="L129" s="9" t="n"/>
      <c r="M129" s="9" t="n"/>
      <c r="N129" s="11" t="n"/>
      <c r="O129" s="11">
        <f>IF(D129="","",IF(COUNTIFS($A$5:$A$404,A129,$D$5:$D$404,D129,$I$5:$I$404,"ja")=4,"compleet",COUNTIFS($A$5:$A$404,A129,$D$5:$D$404,D129,$I$5:$I$404,"ja")&amp;" van 4"))</f>
        <v/>
      </c>
    </row>
    <row r="130">
      <c r="A130" s="11" t="n"/>
      <c r="B130" s="11" t="n"/>
      <c r="C130" s="7" t="n"/>
      <c r="D130" s="11" t="n"/>
      <c r="E130" s="11" t="n"/>
      <c r="F130" s="11" t="n"/>
      <c r="G130" s="12" t="n"/>
      <c r="H130" s="11" t="n"/>
      <c r="I130" s="9" t="n"/>
      <c r="J130" s="9" t="n"/>
      <c r="K130" s="13">
        <f>IF(AND(H130="ja",J130="nee"),ROUND(37.5*G130/8,2),0)</f>
        <v/>
      </c>
      <c r="L130" s="9" t="n"/>
      <c r="M130" s="9" t="n"/>
      <c r="N130" s="11" t="n"/>
      <c r="O130" s="11">
        <f>IF(D130="","",IF(COUNTIFS($A$5:$A$404,A130,$D$5:$D$404,D130,$I$5:$I$404,"ja")=4,"compleet",COUNTIFS($A$5:$A$404,A130,$D$5:$D$404,D130,$I$5:$I$404,"ja")&amp;" van 4"))</f>
        <v/>
      </c>
    </row>
    <row r="131">
      <c r="A131" s="11" t="n"/>
      <c r="B131" s="11" t="n"/>
      <c r="C131" s="7" t="n"/>
      <c r="D131" s="11" t="n"/>
      <c r="E131" s="11" t="n"/>
      <c r="F131" s="11" t="n"/>
      <c r="G131" s="12" t="n"/>
      <c r="H131" s="11" t="n"/>
      <c r="I131" s="9" t="n"/>
      <c r="J131" s="9" t="n"/>
      <c r="K131" s="13">
        <f>IF(AND(H131="ja",J131="nee"),ROUND(37.5*G131/8,2),0)</f>
        <v/>
      </c>
      <c r="L131" s="9" t="n"/>
      <c r="M131" s="9" t="n"/>
      <c r="N131" s="11" t="n"/>
      <c r="O131" s="11">
        <f>IF(D131="","",IF(COUNTIFS($A$5:$A$404,A131,$D$5:$D$404,D131,$I$5:$I$404,"ja")=4,"compleet",COUNTIFS($A$5:$A$404,A131,$D$5:$D$404,D131,$I$5:$I$404,"ja")&amp;" van 4"))</f>
        <v/>
      </c>
    </row>
    <row r="132">
      <c r="A132" s="11" t="n"/>
      <c r="B132" s="11" t="n"/>
      <c r="C132" s="7" t="n"/>
      <c r="D132" s="11" t="n"/>
      <c r="E132" s="11" t="n"/>
      <c r="F132" s="11" t="n"/>
      <c r="G132" s="12" t="n"/>
      <c r="H132" s="11" t="n"/>
      <c r="I132" s="9" t="n"/>
      <c r="J132" s="9" t="n"/>
      <c r="K132" s="13">
        <f>IF(AND(H132="ja",J132="nee"),ROUND(37.5*G132/8,2),0)</f>
        <v/>
      </c>
      <c r="L132" s="9" t="n"/>
      <c r="M132" s="9" t="n"/>
      <c r="N132" s="11" t="n"/>
      <c r="O132" s="11">
        <f>IF(D132="","",IF(COUNTIFS($A$5:$A$404,A132,$D$5:$D$404,D132,$I$5:$I$404,"ja")=4,"compleet",COUNTIFS($A$5:$A$404,A132,$D$5:$D$404,D132,$I$5:$I$404,"ja")&amp;" van 4"))</f>
        <v/>
      </c>
    </row>
    <row r="133">
      <c r="A133" s="11" t="n"/>
      <c r="B133" s="11" t="n"/>
      <c r="C133" s="7" t="n"/>
      <c r="D133" s="11" t="n"/>
      <c r="E133" s="11" t="n"/>
      <c r="F133" s="11" t="n"/>
      <c r="G133" s="12" t="n"/>
      <c r="H133" s="11" t="n"/>
      <c r="I133" s="9" t="n"/>
      <c r="J133" s="9" t="n"/>
      <c r="K133" s="13">
        <f>IF(AND(H133="ja",J133="nee"),ROUND(37.5*G133/8,2),0)</f>
        <v/>
      </c>
      <c r="L133" s="9" t="n"/>
      <c r="M133" s="9" t="n"/>
      <c r="N133" s="11" t="n"/>
      <c r="O133" s="11">
        <f>IF(D133="","",IF(COUNTIFS($A$5:$A$404,A133,$D$5:$D$404,D133,$I$5:$I$404,"ja")=4,"compleet",COUNTIFS($A$5:$A$404,A133,$D$5:$D$404,D133,$I$5:$I$404,"ja")&amp;" van 4"))</f>
        <v/>
      </c>
    </row>
    <row r="134">
      <c r="A134" s="11" t="n"/>
      <c r="B134" s="11" t="n"/>
      <c r="C134" s="7" t="n"/>
      <c r="D134" s="11" t="n"/>
      <c r="E134" s="11" t="n"/>
      <c r="F134" s="11" t="n"/>
      <c r="G134" s="12" t="n"/>
      <c r="H134" s="11" t="n"/>
      <c r="I134" s="9" t="n"/>
      <c r="J134" s="9" t="n"/>
      <c r="K134" s="13">
        <f>IF(AND(H134="ja",J134="nee"),ROUND(37.5*G134/8,2),0)</f>
        <v/>
      </c>
      <c r="L134" s="9" t="n"/>
      <c r="M134" s="9" t="n"/>
      <c r="N134" s="11" t="n"/>
      <c r="O134" s="11">
        <f>IF(D134="","",IF(COUNTIFS($A$5:$A$404,A134,$D$5:$D$404,D134,$I$5:$I$404,"ja")=4,"compleet",COUNTIFS($A$5:$A$404,A134,$D$5:$D$404,D134,$I$5:$I$404,"ja")&amp;" van 4"))</f>
        <v/>
      </c>
    </row>
    <row r="135">
      <c r="A135" s="11" t="n"/>
      <c r="B135" s="11" t="n"/>
      <c r="C135" s="7" t="n"/>
      <c r="D135" s="11" t="n"/>
      <c r="E135" s="11" t="n"/>
      <c r="F135" s="11" t="n"/>
      <c r="G135" s="12" t="n"/>
      <c r="H135" s="11" t="n"/>
      <c r="I135" s="9" t="n"/>
      <c r="J135" s="9" t="n"/>
      <c r="K135" s="13">
        <f>IF(AND(H135="ja",J135="nee"),ROUND(37.5*G135/8,2),0)</f>
        <v/>
      </c>
      <c r="L135" s="9" t="n"/>
      <c r="M135" s="9" t="n"/>
      <c r="N135" s="11" t="n"/>
      <c r="O135" s="11">
        <f>IF(D135="","",IF(COUNTIFS($A$5:$A$404,A135,$D$5:$D$404,D135,$I$5:$I$404,"ja")=4,"compleet",COUNTIFS($A$5:$A$404,A135,$D$5:$D$404,D135,$I$5:$I$404,"ja")&amp;" van 4"))</f>
        <v/>
      </c>
    </row>
    <row r="136">
      <c r="A136" s="11" t="n"/>
      <c r="B136" s="11" t="n"/>
      <c r="C136" s="7" t="n"/>
      <c r="D136" s="11" t="n"/>
      <c r="E136" s="11" t="n"/>
      <c r="F136" s="11" t="n"/>
      <c r="G136" s="12" t="n"/>
      <c r="H136" s="11" t="n"/>
      <c r="I136" s="9" t="n"/>
      <c r="J136" s="9" t="n"/>
      <c r="K136" s="13">
        <f>IF(AND(H136="ja",J136="nee"),ROUND(37.5*G136/8,2),0)</f>
        <v/>
      </c>
      <c r="L136" s="9" t="n"/>
      <c r="M136" s="9" t="n"/>
      <c r="N136" s="11" t="n"/>
      <c r="O136" s="11">
        <f>IF(D136="","",IF(COUNTIFS($A$5:$A$404,A136,$D$5:$D$404,D136,$I$5:$I$404,"ja")=4,"compleet",COUNTIFS($A$5:$A$404,A136,$D$5:$D$404,D136,$I$5:$I$404,"ja")&amp;" van 4"))</f>
        <v/>
      </c>
    </row>
    <row r="137">
      <c r="A137" s="11" t="n"/>
      <c r="B137" s="11" t="n"/>
      <c r="C137" s="7" t="n"/>
      <c r="D137" s="11" t="n"/>
      <c r="E137" s="11" t="n"/>
      <c r="F137" s="11" t="n"/>
      <c r="G137" s="12" t="n"/>
      <c r="H137" s="11" t="n"/>
      <c r="I137" s="9" t="n"/>
      <c r="J137" s="9" t="n"/>
      <c r="K137" s="13">
        <f>IF(AND(H137="ja",J137="nee"),ROUND(37.5*G137/8,2),0)</f>
        <v/>
      </c>
      <c r="L137" s="9" t="n"/>
      <c r="M137" s="9" t="n"/>
      <c r="N137" s="11" t="n"/>
      <c r="O137" s="11">
        <f>IF(D137="","",IF(COUNTIFS($A$5:$A$404,A137,$D$5:$D$404,D137,$I$5:$I$404,"ja")=4,"compleet",COUNTIFS($A$5:$A$404,A137,$D$5:$D$404,D137,$I$5:$I$404,"ja")&amp;" van 4"))</f>
        <v/>
      </c>
    </row>
    <row r="138">
      <c r="A138" s="11" t="n"/>
      <c r="B138" s="11" t="n"/>
      <c r="C138" s="7" t="n"/>
      <c r="D138" s="11" t="n"/>
      <c r="E138" s="11" t="n"/>
      <c r="F138" s="11" t="n"/>
      <c r="G138" s="12" t="n"/>
      <c r="H138" s="11" t="n"/>
      <c r="I138" s="9" t="n"/>
      <c r="J138" s="9" t="n"/>
      <c r="K138" s="13">
        <f>IF(AND(H138="ja",J138="nee"),ROUND(37.5*G138/8,2),0)</f>
        <v/>
      </c>
      <c r="L138" s="9" t="n"/>
      <c r="M138" s="9" t="n"/>
      <c r="N138" s="11" t="n"/>
      <c r="O138" s="11">
        <f>IF(D138="","",IF(COUNTIFS($A$5:$A$404,A138,$D$5:$D$404,D138,$I$5:$I$404,"ja")=4,"compleet",COUNTIFS($A$5:$A$404,A138,$D$5:$D$404,D138,$I$5:$I$404,"ja")&amp;" van 4"))</f>
        <v/>
      </c>
    </row>
    <row r="139">
      <c r="A139" s="11" t="n"/>
      <c r="B139" s="11" t="n"/>
      <c r="C139" s="7" t="n"/>
      <c r="D139" s="11" t="n"/>
      <c r="E139" s="11" t="n"/>
      <c r="F139" s="11" t="n"/>
      <c r="G139" s="12" t="n"/>
      <c r="H139" s="11" t="n"/>
      <c r="I139" s="9" t="n"/>
      <c r="J139" s="9" t="n"/>
      <c r="K139" s="13">
        <f>IF(AND(H139="ja",J139="nee"),ROUND(37.5*G139/8,2),0)</f>
        <v/>
      </c>
      <c r="L139" s="9" t="n"/>
      <c r="M139" s="9" t="n"/>
      <c r="N139" s="11" t="n"/>
      <c r="O139" s="11">
        <f>IF(D139="","",IF(COUNTIFS($A$5:$A$404,A139,$D$5:$D$404,D139,$I$5:$I$404,"ja")=4,"compleet",COUNTIFS($A$5:$A$404,A139,$D$5:$D$404,D139,$I$5:$I$404,"ja")&amp;" van 4"))</f>
        <v/>
      </c>
    </row>
    <row r="140">
      <c r="A140" s="11" t="n"/>
      <c r="B140" s="11" t="n"/>
      <c r="C140" s="7" t="n"/>
      <c r="D140" s="11" t="n"/>
      <c r="E140" s="11" t="n"/>
      <c r="F140" s="11" t="n"/>
      <c r="G140" s="12" t="n"/>
      <c r="H140" s="11" t="n"/>
      <c r="I140" s="9" t="n"/>
      <c r="J140" s="9" t="n"/>
      <c r="K140" s="13">
        <f>IF(AND(H140="ja",J140="nee"),ROUND(37.5*G140/8,2),0)</f>
        <v/>
      </c>
      <c r="L140" s="9" t="n"/>
      <c r="M140" s="9" t="n"/>
      <c r="N140" s="11" t="n"/>
      <c r="O140" s="11">
        <f>IF(D140="","",IF(COUNTIFS($A$5:$A$404,A140,$D$5:$D$404,D140,$I$5:$I$404,"ja")=4,"compleet",COUNTIFS($A$5:$A$404,A140,$D$5:$D$404,D140,$I$5:$I$404,"ja")&amp;" van 4"))</f>
        <v/>
      </c>
    </row>
    <row r="141">
      <c r="A141" s="11" t="n"/>
      <c r="B141" s="11" t="n"/>
      <c r="C141" s="7" t="n"/>
      <c r="D141" s="11" t="n"/>
      <c r="E141" s="11" t="n"/>
      <c r="F141" s="11" t="n"/>
      <c r="G141" s="12" t="n"/>
      <c r="H141" s="11" t="n"/>
      <c r="I141" s="9" t="n"/>
      <c r="J141" s="9" t="n"/>
      <c r="K141" s="13">
        <f>IF(AND(H141="ja",J141="nee"),ROUND(37.5*G141/8,2),0)</f>
        <v/>
      </c>
      <c r="L141" s="9" t="n"/>
      <c r="M141" s="9" t="n"/>
      <c r="N141" s="11" t="n"/>
      <c r="O141" s="11">
        <f>IF(D141="","",IF(COUNTIFS($A$5:$A$404,A141,$D$5:$D$404,D141,$I$5:$I$404,"ja")=4,"compleet",COUNTIFS($A$5:$A$404,A141,$D$5:$D$404,D141,$I$5:$I$404,"ja")&amp;" van 4"))</f>
        <v/>
      </c>
    </row>
    <row r="142">
      <c r="A142" s="11" t="n"/>
      <c r="B142" s="11" t="n"/>
      <c r="C142" s="7" t="n"/>
      <c r="D142" s="11" t="n"/>
      <c r="E142" s="11" t="n"/>
      <c r="F142" s="11" t="n"/>
      <c r="G142" s="12" t="n"/>
      <c r="H142" s="11" t="n"/>
      <c r="I142" s="9" t="n"/>
      <c r="J142" s="9" t="n"/>
      <c r="K142" s="13">
        <f>IF(AND(H142="ja",J142="nee"),ROUND(37.5*G142/8,2),0)</f>
        <v/>
      </c>
      <c r="L142" s="9" t="n"/>
      <c r="M142" s="9" t="n"/>
      <c r="N142" s="11" t="n"/>
      <c r="O142" s="11">
        <f>IF(D142="","",IF(COUNTIFS($A$5:$A$404,A142,$D$5:$D$404,D142,$I$5:$I$404,"ja")=4,"compleet",COUNTIFS($A$5:$A$404,A142,$D$5:$D$404,D142,$I$5:$I$404,"ja")&amp;" van 4"))</f>
        <v/>
      </c>
    </row>
    <row r="143">
      <c r="A143" s="11" t="n"/>
      <c r="B143" s="11" t="n"/>
      <c r="C143" s="7" t="n"/>
      <c r="D143" s="11" t="n"/>
      <c r="E143" s="11" t="n"/>
      <c r="F143" s="11" t="n"/>
      <c r="G143" s="12" t="n"/>
      <c r="H143" s="11" t="n"/>
      <c r="I143" s="9" t="n"/>
      <c r="J143" s="9" t="n"/>
      <c r="K143" s="13">
        <f>IF(AND(H143="ja",J143="nee"),ROUND(37.5*G143/8,2),0)</f>
        <v/>
      </c>
      <c r="L143" s="9" t="n"/>
      <c r="M143" s="9" t="n"/>
      <c r="N143" s="11" t="n"/>
      <c r="O143" s="11">
        <f>IF(D143="","",IF(COUNTIFS($A$5:$A$404,A143,$D$5:$D$404,D143,$I$5:$I$404,"ja")=4,"compleet",COUNTIFS($A$5:$A$404,A143,$D$5:$D$404,D143,$I$5:$I$404,"ja")&amp;" van 4"))</f>
        <v/>
      </c>
    </row>
    <row r="144">
      <c r="A144" s="11" t="n"/>
      <c r="B144" s="11" t="n"/>
      <c r="C144" s="7" t="n"/>
      <c r="D144" s="11" t="n"/>
      <c r="E144" s="11" t="n"/>
      <c r="F144" s="11" t="n"/>
      <c r="G144" s="12" t="n"/>
      <c r="H144" s="11" t="n"/>
      <c r="I144" s="9" t="n"/>
      <c r="J144" s="9" t="n"/>
      <c r="K144" s="13">
        <f>IF(AND(H144="ja",J144="nee"),ROUND(37.5*G144/8,2),0)</f>
        <v/>
      </c>
      <c r="L144" s="9" t="n"/>
      <c r="M144" s="9" t="n"/>
      <c r="N144" s="11" t="n"/>
      <c r="O144" s="11">
        <f>IF(D144="","",IF(COUNTIFS($A$5:$A$404,A144,$D$5:$D$404,D144,$I$5:$I$404,"ja")=4,"compleet",COUNTIFS($A$5:$A$404,A144,$D$5:$D$404,D144,$I$5:$I$404,"ja")&amp;" van 4"))</f>
        <v/>
      </c>
    </row>
    <row r="145">
      <c r="A145" s="11" t="n"/>
      <c r="B145" s="11" t="n"/>
      <c r="C145" s="7" t="n"/>
      <c r="D145" s="11" t="n"/>
      <c r="E145" s="11" t="n"/>
      <c r="F145" s="11" t="n"/>
      <c r="G145" s="12" t="n"/>
      <c r="H145" s="11" t="n"/>
      <c r="I145" s="9" t="n"/>
      <c r="J145" s="9" t="n"/>
      <c r="K145" s="13">
        <f>IF(AND(H145="ja",J145="nee"),ROUND(37.5*G145/8,2),0)</f>
        <v/>
      </c>
      <c r="L145" s="9" t="n"/>
      <c r="M145" s="9" t="n"/>
      <c r="N145" s="11" t="n"/>
      <c r="O145" s="11">
        <f>IF(D145="","",IF(COUNTIFS($A$5:$A$404,A145,$D$5:$D$404,D145,$I$5:$I$404,"ja")=4,"compleet",COUNTIFS($A$5:$A$404,A145,$D$5:$D$404,D145,$I$5:$I$404,"ja")&amp;" van 4"))</f>
        <v/>
      </c>
    </row>
    <row r="146">
      <c r="A146" s="11" t="n"/>
      <c r="B146" s="11" t="n"/>
      <c r="C146" s="7" t="n"/>
      <c r="D146" s="11" t="n"/>
      <c r="E146" s="11" t="n"/>
      <c r="F146" s="11" t="n"/>
      <c r="G146" s="12" t="n"/>
      <c r="H146" s="11" t="n"/>
      <c r="I146" s="9" t="n"/>
      <c r="J146" s="9" t="n"/>
      <c r="K146" s="13">
        <f>IF(AND(H146="ja",J146="nee"),ROUND(37.5*G146/8,2),0)</f>
        <v/>
      </c>
      <c r="L146" s="9" t="n"/>
      <c r="M146" s="9" t="n"/>
      <c r="N146" s="11" t="n"/>
      <c r="O146" s="11">
        <f>IF(D146="","",IF(COUNTIFS($A$5:$A$404,A146,$D$5:$D$404,D146,$I$5:$I$404,"ja")=4,"compleet",COUNTIFS($A$5:$A$404,A146,$D$5:$D$404,D146,$I$5:$I$404,"ja")&amp;" van 4"))</f>
        <v/>
      </c>
    </row>
    <row r="147">
      <c r="A147" s="11" t="n"/>
      <c r="B147" s="11" t="n"/>
      <c r="C147" s="7" t="n"/>
      <c r="D147" s="11" t="n"/>
      <c r="E147" s="11" t="n"/>
      <c r="F147" s="11" t="n"/>
      <c r="G147" s="12" t="n"/>
      <c r="H147" s="11" t="n"/>
      <c r="I147" s="9" t="n"/>
      <c r="J147" s="9" t="n"/>
      <c r="K147" s="13">
        <f>IF(AND(H147="ja",J147="nee"),ROUND(37.5*G147/8,2),0)</f>
        <v/>
      </c>
      <c r="L147" s="9" t="n"/>
      <c r="M147" s="9" t="n"/>
      <c r="N147" s="11" t="n"/>
      <c r="O147" s="11">
        <f>IF(D147="","",IF(COUNTIFS($A$5:$A$404,A147,$D$5:$D$404,D147,$I$5:$I$404,"ja")=4,"compleet",COUNTIFS($A$5:$A$404,A147,$D$5:$D$404,D147,$I$5:$I$404,"ja")&amp;" van 4"))</f>
        <v/>
      </c>
    </row>
    <row r="148">
      <c r="A148" s="11" t="n"/>
      <c r="B148" s="11" t="n"/>
      <c r="C148" s="7" t="n"/>
      <c r="D148" s="11" t="n"/>
      <c r="E148" s="11" t="n"/>
      <c r="F148" s="11" t="n"/>
      <c r="G148" s="12" t="n"/>
      <c r="H148" s="11" t="n"/>
      <c r="I148" s="9" t="n"/>
      <c r="J148" s="9" t="n"/>
      <c r="K148" s="13">
        <f>IF(AND(H148="ja",J148="nee"),ROUND(37.5*G148/8,2),0)</f>
        <v/>
      </c>
      <c r="L148" s="9" t="n"/>
      <c r="M148" s="9" t="n"/>
      <c r="N148" s="11" t="n"/>
      <c r="O148" s="11">
        <f>IF(D148="","",IF(COUNTIFS($A$5:$A$404,A148,$D$5:$D$404,D148,$I$5:$I$404,"ja")=4,"compleet",COUNTIFS($A$5:$A$404,A148,$D$5:$D$404,D148,$I$5:$I$404,"ja")&amp;" van 4"))</f>
        <v/>
      </c>
    </row>
    <row r="149">
      <c r="A149" s="11" t="n"/>
      <c r="B149" s="11" t="n"/>
      <c r="C149" s="7" t="n"/>
      <c r="D149" s="11" t="n"/>
      <c r="E149" s="11" t="n"/>
      <c r="F149" s="11" t="n"/>
      <c r="G149" s="12" t="n"/>
      <c r="H149" s="11" t="n"/>
      <c r="I149" s="9" t="n"/>
      <c r="J149" s="9" t="n"/>
      <c r="K149" s="13">
        <f>IF(AND(H149="ja",J149="nee"),ROUND(37.5*G149/8,2),0)</f>
        <v/>
      </c>
      <c r="L149" s="9" t="n"/>
      <c r="M149" s="9" t="n"/>
      <c r="N149" s="11" t="n"/>
      <c r="O149" s="11">
        <f>IF(D149="","",IF(COUNTIFS($A$5:$A$404,A149,$D$5:$D$404,D149,$I$5:$I$404,"ja")=4,"compleet",COUNTIFS($A$5:$A$404,A149,$D$5:$D$404,D149,$I$5:$I$404,"ja")&amp;" van 4"))</f>
        <v/>
      </c>
    </row>
    <row r="150">
      <c r="A150" s="11" t="n"/>
      <c r="B150" s="11" t="n"/>
      <c r="C150" s="7" t="n"/>
      <c r="D150" s="11" t="n"/>
      <c r="E150" s="11" t="n"/>
      <c r="F150" s="11" t="n"/>
      <c r="G150" s="12" t="n"/>
      <c r="H150" s="11" t="n"/>
      <c r="I150" s="9" t="n"/>
      <c r="J150" s="9" t="n"/>
      <c r="K150" s="13">
        <f>IF(AND(H150="ja",J150="nee"),ROUND(37.5*G150/8,2),0)</f>
        <v/>
      </c>
      <c r="L150" s="9" t="n"/>
      <c r="M150" s="9" t="n"/>
      <c r="N150" s="11" t="n"/>
      <c r="O150" s="11">
        <f>IF(D150="","",IF(COUNTIFS($A$5:$A$404,A150,$D$5:$D$404,D150,$I$5:$I$404,"ja")=4,"compleet",COUNTIFS($A$5:$A$404,A150,$D$5:$D$404,D150,$I$5:$I$404,"ja")&amp;" van 4"))</f>
        <v/>
      </c>
    </row>
    <row r="151">
      <c r="A151" s="11" t="n"/>
      <c r="B151" s="11" t="n"/>
      <c r="C151" s="7" t="n"/>
      <c r="D151" s="11" t="n"/>
      <c r="E151" s="11" t="n"/>
      <c r="F151" s="11" t="n"/>
      <c r="G151" s="12" t="n"/>
      <c r="H151" s="11" t="n"/>
      <c r="I151" s="9" t="n"/>
      <c r="J151" s="9" t="n"/>
      <c r="K151" s="13">
        <f>IF(AND(H151="ja",J151="nee"),ROUND(37.5*G151/8,2),0)</f>
        <v/>
      </c>
      <c r="L151" s="9" t="n"/>
      <c r="M151" s="9" t="n"/>
      <c r="N151" s="11" t="n"/>
      <c r="O151" s="11">
        <f>IF(D151="","",IF(COUNTIFS($A$5:$A$404,A151,$D$5:$D$404,D151,$I$5:$I$404,"ja")=4,"compleet",COUNTIFS($A$5:$A$404,A151,$D$5:$D$404,D151,$I$5:$I$404,"ja")&amp;" van 4"))</f>
        <v/>
      </c>
    </row>
    <row r="152">
      <c r="A152" s="11" t="n"/>
      <c r="B152" s="11" t="n"/>
      <c r="C152" s="7" t="n"/>
      <c r="D152" s="11" t="n"/>
      <c r="E152" s="11" t="n"/>
      <c r="F152" s="11" t="n"/>
      <c r="G152" s="12" t="n"/>
      <c r="H152" s="11" t="n"/>
      <c r="I152" s="9" t="n"/>
      <c r="J152" s="9" t="n"/>
      <c r="K152" s="13">
        <f>IF(AND(H152="ja",J152="nee"),ROUND(37.5*G152/8,2),0)</f>
        <v/>
      </c>
      <c r="L152" s="9" t="n"/>
      <c r="M152" s="9" t="n"/>
      <c r="N152" s="11" t="n"/>
      <c r="O152" s="11">
        <f>IF(D152="","",IF(COUNTIFS($A$5:$A$404,A152,$D$5:$D$404,D152,$I$5:$I$404,"ja")=4,"compleet",COUNTIFS($A$5:$A$404,A152,$D$5:$D$404,D152,$I$5:$I$404,"ja")&amp;" van 4"))</f>
        <v/>
      </c>
    </row>
    <row r="153">
      <c r="A153" s="11" t="n"/>
      <c r="B153" s="11" t="n"/>
      <c r="C153" s="7" t="n"/>
      <c r="D153" s="11" t="n"/>
      <c r="E153" s="11" t="n"/>
      <c r="F153" s="11" t="n"/>
      <c r="G153" s="12" t="n"/>
      <c r="H153" s="11" t="n"/>
      <c r="I153" s="9" t="n"/>
      <c r="J153" s="9" t="n"/>
      <c r="K153" s="13">
        <f>IF(AND(H153="ja",J153="nee"),ROUND(37.5*G153/8,2),0)</f>
        <v/>
      </c>
      <c r="L153" s="9" t="n"/>
      <c r="M153" s="9" t="n"/>
      <c r="N153" s="11" t="n"/>
      <c r="O153" s="11">
        <f>IF(D153="","",IF(COUNTIFS($A$5:$A$404,A153,$D$5:$D$404,D153,$I$5:$I$404,"ja")=4,"compleet",COUNTIFS($A$5:$A$404,A153,$D$5:$D$404,D153,$I$5:$I$404,"ja")&amp;" van 4"))</f>
        <v/>
      </c>
    </row>
    <row r="154">
      <c r="A154" s="11" t="n"/>
      <c r="B154" s="11" t="n"/>
      <c r="C154" s="7" t="n"/>
      <c r="D154" s="11" t="n"/>
      <c r="E154" s="11" t="n"/>
      <c r="F154" s="11" t="n"/>
      <c r="G154" s="12" t="n"/>
      <c r="H154" s="11" t="n"/>
      <c r="I154" s="9" t="n"/>
      <c r="J154" s="9" t="n"/>
      <c r="K154" s="13">
        <f>IF(AND(H154="ja",J154="nee"),ROUND(37.5*G154/8,2),0)</f>
        <v/>
      </c>
      <c r="L154" s="9" t="n"/>
      <c r="M154" s="9" t="n"/>
      <c r="N154" s="11" t="n"/>
      <c r="O154" s="11">
        <f>IF(D154="","",IF(COUNTIFS($A$5:$A$404,A154,$D$5:$D$404,D154,$I$5:$I$404,"ja")=4,"compleet",COUNTIFS($A$5:$A$404,A154,$D$5:$D$404,D154,$I$5:$I$404,"ja")&amp;" van 4"))</f>
        <v/>
      </c>
    </row>
    <row r="155">
      <c r="A155" s="11" t="n"/>
      <c r="B155" s="11" t="n"/>
      <c r="C155" s="7" t="n"/>
      <c r="D155" s="11" t="n"/>
      <c r="E155" s="11" t="n"/>
      <c r="F155" s="11" t="n"/>
      <c r="G155" s="12" t="n"/>
      <c r="H155" s="11" t="n"/>
      <c r="I155" s="9" t="n"/>
      <c r="J155" s="9" t="n"/>
      <c r="K155" s="13">
        <f>IF(AND(H155="ja",J155="nee"),ROUND(37.5*G155/8,2),0)</f>
        <v/>
      </c>
      <c r="L155" s="9" t="n"/>
      <c r="M155" s="9" t="n"/>
      <c r="N155" s="11" t="n"/>
      <c r="O155" s="11">
        <f>IF(D155="","",IF(COUNTIFS($A$5:$A$404,A155,$D$5:$D$404,D155,$I$5:$I$404,"ja")=4,"compleet",COUNTIFS($A$5:$A$404,A155,$D$5:$D$404,D155,$I$5:$I$404,"ja")&amp;" van 4"))</f>
        <v/>
      </c>
    </row>
    <row r="156">
      <c r="A156" s="11" t="n"/>
      <c r="B156" s="11" t="n"/>
      <c r="C156" s="7" t="n"/>
      <c r="D156" s="11" t="n"/>
      <c r="E156" s="11" t="n"/>
      <c r="F156" s="11" t="n"/>
      <c r="G156" s="12" t="n"/>
      <c r="H156" s="11" t="n"/>
      <c r="I156" s="9" t="n"/>
      <c r="J156" s="9" t="n"/>
      <c r="K156" s="13">
        <f>IF(AND(H156="ja",J156="nee"),ROUND(37.5*G156/8,2),0)</f>
        <v/>
      </c>
      <c r="L156" s="9" t="n"/>
      <c r="M156" s="9" t="n"/>
      <c r="N156" s="11" t="n"/>
      <c r="O156" s="11">
        <f>IF(D156="","",IF(COUNTIFS($A$5:$A$404,A156,$D$5:$D$404,D156,$I$5:$I$404,"ja")=4,"compleet",COUNTIFS($A$5:$A$404,A156,$D$5:$D$404,D156,$I$5:$I$404,"ja")&amp;" van 4"))</f>
        <v/>
      </c>
    </row>
    <row r="157">
      <c r="A157" s="11" t="n"/>
      <c r="B157" s="11" t="n"/>
      <c r="C157" s="7" t="n"/>
      <c r="D157" s="11" t="n"/>
      <c r="E157" s="11" t="n"/>
      <c r="F157" s="11" t="n"/>
      <c r="G157" s="12" t="n"/>
      <c r="H157" s="11" t="n"/>
      <c r="I157" s="9" t="n"/>
      <c r="J157" s="9" t="n"/>
      <c r="K157" s="13">
        <f>IF(AND(H157="ja",J157="nee"),ROUND(37.5*G157/8,2),0)</f>
        <v/>
      </c>
      <c r="L157" s="9" t="n"/>
      <c r="M157" s="9" t="n"/>
      <c r="N157" s="11" t="n"/>
      <c r="O157" s="11">
        <f>IF(D157="","",IF(COUNTIFS($A$5:$A$404,A157,$D$5:$D$404,D157,$I$5:$I$404,"ja")=4,"compleet",COUNTIFS($A$5:$A$404,A157,$D$5:$D$404,D157,$I$5:$I$404,"ja")&amp;" van 4"))</f>
        <v/>
      </c>
    </row>
    <row r="158">
      <c r="A158" s="11" t="n"/>
      <c r="B158" s="11" t="n"/>
      <c r="C158" s="7" t="n"/>
      <c r="D158" s="11" t="n"/>
      <c r="E158" s="11" t="n"/>
      <c r="F158" s="11" t="n"/>
      <c r="G158" s="12" t="n"/>
      <c r="H158" s="11" t="n"/>
      <c r="I158" s="9" t="n"/>
      <c r="J158" s="9" t="n"/>
      <c r="K158" s="13">
        <f>IF(AND(H158="ja",J158="nee"),ROUND(37.5*G158/8,2),0)</f>
        <v/>
      </c>
      <c r="L158" s="9" t="n"/>
      <c r="M158" s="9" t="n"/>
      <c r="N158" s="11" t="n"/>
      <c r="O158" s="11">
        <f>IF(D158="","",IF(COUNTIFS($A$5:$A$404,A158,$D$5:$D$404,D158,$I$5:$I$404,"ja")=4,"compleet",COUNTIFS($A$5:$A$404,A158,$D$5:$D$404,D158,$I$5:$I$404,"ja")&amp;" van 4"))</f>
        <v/>
      </c>
    </row>
    <row r="159">
      <c r="A159" s="11" t="n"/>
      <c r="B159" s="11" t="n"/>
      <c r="C159" s="7" t="n"/>
      <c r="D159" s="11" t="n"/>
      <c r="E159" s="11" t="n"/>
      <c r="F159" s="11" t="n"/>
      <c r="G159" s="12" t="n"/>
      <c r="H159" s="11" t="n"/>
      <c r="I159" s="9" t="n"/>
      <c r="J159" s="9" t="n"/>
      <c r="K159" s="13">
        <f>IF(AND(H159="ja",J159="nee"),ROUND(37.5*G159/8,2),0)</f>
        <v/>
      </c>
      <c r="L159" s="9" t="n"/>
      <c r="M159" s="9" t="n"/>
      <c r="N159" s="11" t="n"/>
      <c r="O159" s="11">
        <f>IF(D159="","",IF(COUNTIFS($A$5:$A$404,A159,$D$5:$D$404,D159,$I$5:$I$404,"ja")=4,"compleet",COUNTIFS($A$5:$A$404,A159,$D$5:$D$404,D159,$I$5:$I$404,"ja")&amp;" van 4"))</f>
        <v/>
      </c>
    </row>
    <row r="160">
      <c r="A160" s="11" t="n"/>
      <c r="B160" s="11" t="n"/>
      <c r="C160" s="7" t="n"/>
      <c r="D160" s="11" t="n"/>
      <c r="E160" s="11" t="n"/>
      <c r="F160" s="11" t="n"/>
      <c r="G160" s="12" t="n"/>
      <c r="H160" s="11" t="n"/>
      <c r="I160" s="9" t="n"/>
      <c r="J160" s="9" t="n"/>
      <c r="K160" s="13">
        <f>IF(AND(H160="ja",J160="nee"),ROUND(37.5*G160/8,2),0)</f>
        <v/>
      </c>
      <c r="L160" s="9" t="n"/>
      <c r="M160" s="9" t="n"/>
      <c r="N160" s="11" t="n"/>
      <c r="O160" s="11">
        <f>IF(D160="","",IF(COUNTIFS($A$5:$A$404,A160,$D$5:$D$404,D160,$I$5:$I$404,"ja")=4,"compleet",COUNTIFS($A$5:$A$404,A160,$D$5:$D$404,D160,$I$5:$I$404,"ja")&amp;" van 4"))</f>
        <v/>
      </c>
    </row>
    <row r="161">
      <c r="A161" s="11" t="n"/>
      <c r="B161" s="11" t="n"/>
      <c r="C161" s="7" t="n"/>
      <c r="D161" s="11" t="n"/>
      <c r="E161" s="11" t="n"/>
      <c r="F161" s="11" t="n"/>
      <c r="G161" s="12" t="n"/>
      <c r="H161" s="11" t="n"/>
      <c r="I161" s="9" t="n"/>
      <c r="J161" s="9" t="n"/>
      <c r="K161" s="13">
        <f>IF(AND(H161="ja",J161="nee"),ROUND(37.5*G161/8,2),0)</f>
        <v/>
      </c>
      <c r="L161" s="9" t="n"/>
      <c r="M161" s="9" t="n"/>
      <c r="N161" s="11" t="n"/>
      <c r="O161" s="11">
        <f>IF(D161="","",IF(COUNTIFS($A$5:$A$404,A161,$D$5:$D$404,D161,$I$5:$I$404,"ja")=4,"compleet",COUNTIFS($A$5:$A$404,A161,$D$5:$D$404,D161,$I$5:$I$404,"ja")&amp;" van 4"))</f>
        <v/>
      </c>
    </row>
    <row r="162">
      <c r="A162" s="11" t="n"/>
      <c r="B162" s="11" t="n"/>
      <c r="C162" s="7" t="n"/>
      <c r="D162" s="11" t="n"/>
      <c r="E162" s="11" t="n"/>
      <c r="F162" s="11" t="n"/>
      <c r="G162" s="12" t="n"/>
      <c r="H162" s="11" t="n"/>
      <c r="I162" s="9" t="n"/>
      <c r="J162" s="9" t="n"/>
      <c r="K162" s="13">
        <f>IF(AND(H162="ja",J162="nee"),ROUND(37.5*G162/8,2),0)</f>
        <v/>
      </c>
      <c r="L162" s="9" t="n"/>
      <c r="M162" s="9" t="n"/>
      <c r="N162" s="11" t="n"/>
      <c r="O162" s="11">
        <f>IF(D162="","",IF(COUNTIFS($A$5:$A$404,A162,$D$5:$D$404,D162,$I$5:$I$404,"ja")=4,"compleet",COUNTIFS($A$5:$A$404,A162,$D$5:$D$404,D162,$I$5:$I$404,"ja")&amp;" van 4"))</f>
        <v/>
      </c>
    </row>
    <row r="163">
      <c r="A163" s="11" t="n"/>
      <c r="B163" s="11" t="n"/>
      <c r="C163" s="7" t="n"/>
      <c r="D163" s="11" t="n"/>
      <c r="E163" s="11" t="n"/>
      <c r="F163" s="11" t="n"/>
      <c r="G163" s="12" t="n"/>
      <c r="H163" s="11" t="n"/>
      <c r="I163" s="9" t="n"/>
      <c r="J163" s="9" t="n"/>
      <c r="K163" s="13">
        <f>IF(AND(H163="ja",J163="nee"),ROUND(37.5*G163/8,2),0)</f>
        <v/>
      </c>
      <c r="L163" s="9" t="n"/>
      <c r="M163" s="9" t="n"/>
      <c r="N163" s="11" t="n"/>
      <c r="O163" s="11">
        <f>IF(D163="","",IF(COUNTIFS($A$5:$A$404,A163,$D$5:$D$404,D163,$I$5:$I$404,"ja")=4,"compleet",COUNTIFS($A$5:$A$404,A163,$D$5:$D$404,D163,$I$5:$I$404,"ja")&amp;" van 4"))</f>
        <v/>
      </c>
    </row>
    <row r="164">
      <c r="A164" s="11" t="n"/>
      <c r="B164" s="11" t="n"/>
      <c r="C164" s="7" t="n"/>
      <c r="D164" s="11" t="n"/>
      <c r="E164" s="11" t="n"/>
      <c r="F164" s="11" t="n"/>
      <c r="G164" s="12" t="n"/>
      <c r="H164" s="11" t="n"/>
      <c r="I164" s="9" t="n"/>
      <c r="J164" s="9" t="n"/>
      <c r="K164" s="13">
        <f>IF(AND(H164="ja",J164="nee"),ROUND(37.5*G164/8,2),0)</f>
        <v/>
      </c>
      <c r="L164" s="9" t="n"/>
      <c r="M164" s="9" t="n"/>
      <c r="N164" s="11" t="n"/>
      <c r="O164" s="11">
        <f>IF(D164="","",IF(COUNTIFS($A$5:$A$404,A164,$D$5:$D$404,D164,$I$5:$I$404,"ja")=4,"compleet",COUNTIFS($A$5:$A$404,A164,$D$5:$D$404,D164,$I$5:$I$404,"ja")&amp;" van 4"))</f>
        <v/>
      </c>
    </row>
    <row r="165">
      <c r="A165" s="11" t="n"/>
      <c r="B165" s="11" t="n"/>
      <c r="C165" s="7" t="n"/>
      <c r="D165" s="11" t="n"/>
      <c r="E165" s="11" t="n"/>
      <c r="F165" s="11" t="n"/>
      <c r="G165" s="12" t="n"/>
      <c r="H165" s="11" t="n"/>
      <c r="I165" s="9" t="n"/>
      <c r="J165" s="9" t="n"/>
      <c r="K165" s="13">
        <f>IF(AND(H165="ja",J165="nee"),ROUND(37.5*G165/8,2),0)</f>
        <v/>
      </c>
      <c r="L165" s="9" t="n"/>
      <c r="M165" s="9" t="n"/>
      <c r="N165" s="11" t="n"/>
      <c r="O165" s="11">
        <f>IF(D165="","",IF(COUNTIFS($A$5:$A$404,A165,$D$5:$D$404,D165,$I$5:$I$404,"ja")=4,"compleet",COUNTIFS($A$5:$A$404,A165,$D$5:$D$404,D165,$I$5:$I$404,"ja")&amp;" van 4"))</f>
        <v/>
      </c>
    </row>
    <row r="166">
      <c r="A166" s="11" t="n"/>
      <c r="B166" s="11" t="n"/>
      <c r="C166" s="7" t="n"/>
      <c r="D166" s="11" t="n"/>
      <c r="E166" s="11" t="n"/>
      <c r="F166" s="11" t="n"/>
      <c r="G166" s="12" t="n"/>
      <c r="H166" s="11" t="n"/>
      <c r="I166" s="9" t="n"/>
      <c r="J166" s="9" t="n"/>
      <c r="K166" s="13">
        <f>IF(AND(H166="ja",J166="nee"),ROUND(37.5*G166/8,2),0)</f>
        <v/>
      </c>
      <c r="L166" s="9" t="n"/>
      <c r="M166" s="9" t="n"/>
      <c r="N166" s="11" t="n"/>
      <c r="O166" s="11">
        <f>IF(D166="","",IF(COUNTIFS($A$5:$A$404,A166,$D$5:$D$404,D166,$I$5:$I$404,"ja")=4,"compleet",COUNTIFS($A$5:$A$404,A166,$D$5:$D$404,D166,$I$5:$I$404,"ja")&amp;" van 4"))</f>
        <v/>
      </c>
    </row>
    <row r="167">
      <c r="A167" s="11" t="n"/>
      <c r="B167" s="11" t="n"/>
      <c r="C167" s="7" t="n"/>
      <c r="D167" s="11" t="n"/>
      <c r="E167" s="11" t="n"/>
      <c r="F167" s="11" t="n"/>
      <c r="G167" s="12" t="n"/>
      <c r="H167" s="11" t="n"/>
      <c r="I167" s="9" t="n"/>
      <c r="J167" s="9" t="n"/>
      <c r="K167" s="13">
        <f>IF(AND(H167="ja",J167="nee"),ROUND(37.5*G167/8,2),0)</f>
        <v/>
      </c>
      <c r="L167" s="9" t="n"/>
      <c r="M167" s="9" t="n"/>
      <c r="N167" s="11" t="n"/>
      <c r="O167" s="11">
        <f>IF(D167="","",IF(COUNTIFS($A$5:$A$404,A167,$D$5:$D$404,D167,$I$5:$I$404,"ja")=4,"compleet",COUNTIFS($A$5:$A$404,A167,$D$5:$D$404,D167,$I$5:$I$404,"ja")&amp;" van 4"))</f>
        <v/>
      </c>
    </row>
    <row r="168">
      <c r="A168" s="11" t="n"/>
      <c r="B168" s="11" t="n"/>
      <c r="C168" s="7" t="n"/>
      <c r="D168" s="11" t="n"/>
      <c r="E168" s="11" t="n"/>
      <c r="F168" s="11" t="n"/>
      <c r="G168" s="12" t="n"/>
      <c r="H168" s="11" t="n"/>
      <c r="I168" s="9" t="n"/>
      <c r="J168" s="9" t="n"/>
      <c r="K168" s="13">
        <f>IF(AND(H168="ja",J168="nee"),ROUND(37.5*G168/8,2),0)</f>
        <v/>
      </c>
      <c r="L168" s="9" t="n"/>
      <c r="M168" s="9" t="n"/>
      <c r="N168" s="11" t="n"/>
      <c r="O168" s="11">
        <f>IF(D168="","",IF(COUNTIFS($A$5:$A$404,A168,$D$5:$D$404,D168,$I$5:$I$404,"ja")=4,"compleet",COUNTIFS($A$5:$A$404,A168,$D$5:$D$404,D168,$I$5:$I$404,"ja")&amp;" van 4"))</f>
        <v/>
      </c>
    </row>
    <row r="169">
      <c r="A169" s="11" t="n"/>
      <c r="B169" s="11" t="n"/>
      <c r="C169" s="7" t="n"/>
      <c r="D169" s="11" t="n"/>
      <c r="E169" s="11" t="n"/>
      <c r="F169" s="11" t="n"/>
      <c r="G169" s="12" t="n"/>
      <c r="H169" s="11" t="n"/>
      <c r="I169" s="9" t="n"/>
      <c r="J169" s="9" t="n"/>
      <c r="K169" s="13">
        <f>IF(AND(H169="ja",J169="nee"),ROUND(37.5*G169/8,2),0)</f>
        <v/>
      </c>
      <c r="L169" s="9" t="n"/>
      <c r="M169" s="9" t="n"/>
      <c r="N169" s="11" t="n"/>
      <c r="O169" s="11">
        <f>IF(D169="","",IF(COUNTIFS($A$5:$A$404,A169,$D$5:$D$404,D169,$I$5:$I$404,"ja")=4,"compleet",COUNTIFS($A$5:$A$404,A169,$D$5:$D$404,D169,$I$5:$I$404,"ja")&amp;" van 4"))</f>
        <v/>
      </c>
    </row>
    <row r="170">
      <c r="A170" s="11" t="n"/>
      <c r="B170" s="11" t="n"/>
      <c r="C170" s="7" t="n"/>
      <c r="D170" s="11" t="n"/>
      <c r="E170" s="11" t="n"/>
      <c r="F170" s="11" t="n"/>
      <c r="G170" s="12" t="n"/>
      <c r="H170" s="11" t="n"/>
      <c r="I170" s="9" t="n"/>
      <c r="J170" s="9" t="n"/>
      <c r="K170" s="13">
        <f>IF(AND(H170="ja",J170="nee"),ROUND(37.5*G170/8,2),0)</f>
        <v/>
      </c>
      <c r="L170" s="9" t="n"/>
      <c r="M170" s="9" t="n"/>
      <c r="N170" s="11" t="n"/>
      <c r="O170" s="11">
        <f>IF(D170="","",IF(COUNTIFS($A$5:$A$404,A170,$D$5:$D$404,D170,$I$5:$I$404,"ja")=4,"compleet",COUNTIFS($A$5:$A$404,A170,$D$5:$D$404,D170,$I$5:$I$404,"ja")&amp;" van 4"))</f>
        <v/>
      </c>
    </row>
    <row r="171">
      <c r="A171" s="11" t="n"/>
      <c r="B171" s="11" t="n"/>
      <c r="C171" s="7" t="n"/>
      <c r="D171" s="11" t="n"/>
      <c r="E171" s="11" t="n"/>
      <c r="F171" s="11" t="n"/>
      <c r="G171" s="12" t="n"/>
      <c r="H171" s="11" t="n"/>
      <c r="I171" s="9" t="n"/>
      <c r="J171" s="9" t="n"/>
      <c r="K171" s="13">
        <f>IF(AND(H171="ja",J171="nee"),ROUND(37.5*G171/8,2),0)</f>
        <v/>
      </c>
      <c r="L171" s="9" t="n"/>
      <c r="M171" s="9" t="n"/>
      <c r="N171" s="11" t="n"/>
      <c r="O171" s="11">
        <f>IF(D171="","",IF(COUNTIFS($A$5:$A$404,A171,$D$5:$D$404,D171,$I$5:$I$404,"ja")=4,"compleet",COUNTIFS($A$5:$A$404,A171,$D$5:$D$404,D171,$I$5:$I$404,"ja")&amp;" van 4"))</f>
        <v/>
      </c>
    </row>
    <row r="172">
      <c r="A172" s="11" t="n"/>
      <c r="B172" s="11" t="n"/>
      <c r="C172" s="7" t="n"/>
      <c r="D172" s="11" t="n"/>
      <c r="E172" s="11" t="n"/>
      <c r="F172" s="11" t="n"/>
      <c r="G172" s="12" t="n"/>
      <c r="H172" s="11" t="n"/>
      <c r="I172" s="9" t="n"/>
      <c r="J172" s="9" t="n"/>
      <c r="K172" s="13">
        <f>IF(AND(H172="ja",J172="nee"),ROUND(37.5*G172/8,2),0)</f>
        <v/>
      </c>
      <c r="L172" s="9" t="n"/>
      <c r="M172" s="9" t="n"/>
      <c r="N172" s="11" t="n"/>
      <c r="O172" s="11">
        <f>IF(D172="","",IF(COUNTIFS($A$5:$A$404,A172,$D$5:$D$404,D172,$I$5:$I$404,"ja")=4,"compleet",COUNTIFS($A$5:$A$404,A172,$D$5:$D$404,D172,$I$5:$I$404,"ja")&amp;" van 4"))</f>
        <v/>
      </c>
    </row>
    <row r="173">
      <c r="A173" s="11" t="n"/>
      <c r="B173" s="11" t="n"/>
      <c r="C173" s="7" t="n"/>
      <c r="D173" s="11" t="n"/>
      <c r="E173" s="11" t="n"/>
      <c r="F173" s="11" t="n"/>
      <c r="G173" s="12" t="n"/>
      <c r="H173" s="11" t="n"/>
      <c r="I173" s="9" t="n"/>
      <c r="J173" s="9" t="n"/>
      <c r="K173" s="13">
        <f>IF(AND(H173="ja",J173="nee"),ROUND(37.5*G173/8,2),0)</f>
        <v/>
      </c>
      <c r="L173" s="9" t="n"/>
      <c r="M173" s="9" t="n"/>
      <c r="N173" s="11" t="n"/>
      <c r="O173" s="11">
        <f>IF(D173="","",IF(COUNTIFS($A$5:$A$404,A173,$D$5:$D$404,D173,$I$5:$I$404,"ja")=4,"compleet",COUNTIFS($A$5:$A$404,A173,$D$5:$D$404,D173,$I$5:$I$404,"ja")&amp;" van 4"))</f>
        <v/>
      </c>
    </row>
    <row r="174">
      <c r="A174" s="11" t="n"/>
      <c r="B174" s="11" t="n"/>
      <c r="C174" s="7" t="n"/>
      <c r="D174" s="11" t="n"/>
      <c r="E174" s="11" t="n"/>
      <c r="F174" s="11" t="n"/>
      <c r="G174" s="12" t="n"/>
      <c r="H174" s="11" t="n"/>
      <c r="I174" s="9" t="n"/>
      <c r="J174" s="9" t="n"/>
      <c r="K174" s="13">
        <f>IF(AND(H174="ja",J174="nee"),ROUND(37.5*G174/8,2),0)</f>
        <v/>
      </c>
      <c r="L174" s="9" t="n"/>
      <c r="M174" s="9" t="n"/>
      <c r="N174" s="11" t="n"/>
      <c r="O174" s="11">
        <f>IF(D174="","",IF(COUNTIFS($A$5:$A$404,A174,$D$5:$D$404,D174,$I$5:$I$404,"ja")=4,"compleet",COUNTIFS($A$5:$A$404,A174,$D$5:$D$404,D174,$I$5:$I$404,"ja")&amp;" van 4"))</f>
        <v/>
      </c>
    </row>
    <row r="175">
      <c r="A175" s="11" t="n"/>
      <c r="B175" s="11" t="n"/>
      <c r="C175" s="7" t="n"/>
      <c r="D175" s="11" t="n"/>
      <c r="E175" s="11" t="n"/>
      <c r="F175" s="11" t="n"/>
      <c r="G175" s="12" t="n"/>
      <c r="H175" s="11" t="n"/>
      <c r="I175" s="9" t="n"/>
      <c r="J175" s="9" t="n"/>
      <c r="K175" s="13">
        <f>IF(AND(H175="ja",J175="nee"),ROUND(37.5*G175/8,2),0)</f>
        <v/>
      </c>
      <c r="L175" s="9" t="n"/>
      <c r="M175" s="9" t="n"/>
      <c r="N175" s="11" t="n"/>
      <c r="O175" s="11">
        <f>IF(D175="","",IF(COUNTIFS($A$5:$A$404,A175,$D$5:$D$404,D175,$I$5:$I$404,"ja")=4,"compleet",COUNTIFS($A$5:$A$404,A175,$D$5:$D$404,D175,$I$5:$I$404,"ja")&amp;" van 4"))</f>
        <v/>
      </c>
    </row>
    <row r="176">
      <c r="A176" s="11" t="n"/>
      <c r="B176" s="11" t="n"/>
      <c r="C176" s="7" t="n"/>
      <c r="D176" s="11" t="n"/>
      <c r="E176" s="11" t="n"/>
      <c r="F176" s="11" t="n"/>
      <c r="G176" s="12" t="n"/>
      <c r="H176" s="11" t="n"/>
      <c r="I176" s="9" t="n"/>
      <c r="J176" s="9" t="n"/>
      <c r="K176" s="13">
        <f>IF(AND(H176="ja",J176="nee"),ROUND(37.5*G176/8,2),0)</f>
        <v/>
      </c>
      <c r="L176" s="9" t="n"/>
      <c r="M176" s="9" t="n"/>
      <c r="N176" s="11" t="n"/>
      <c r="O176" s="11">
        <f>IF(D176="","",IF(COUNTIFS($A$5:$A$404,A176,$D$5:$D$404,D176,$I$5:$I$404,"ja")=4,"compleet",COUNTIFS($A$5:$A$404,A176,$D$5:$D$404,D176,$I$5:$I$404,"ja")&amp;" van 4"))</f>
        <v/>
      </c>
    </row>
    <row r="177">
      <c r="A177" s="11" t="n"/>
      <c r="B177" s="11" t="n"/>
      <c r="C177" s="7" t="n"/>
      <c r="D177" s="11" t="n"/>
      <c r="E177" s="11" t="n"/>
      <c r="F177" s="11" t="n"/>
      <c r="G177" s="12" t="n"/>
      <c r="H177" s="11" t="n"/>
      <c r="I177" s="9" t="n"/>
      <c r="J177" s="9" t="n"/>
      <c r="K177" s="13">
        <f>IF(AND(H177="ja",J177="nee"),ROUND(37.5*G177/8,2),0)</f>
        <v/>
      </c>
      <c r="L177" s="9" t="n"/>
      <c r="M177" s="9" t="n"/>
      <c r="N177" s="11" t="n"/>
      <c r="O177" s="11">
        <f>IF(D177="","",IF(COUNTIFS($A$5:$A$404,A177,$D$5:$D$404,D177,$I$5:$I$404,"ja")=4,"compleet",COUNTIFS($A$5:$A$404,A177,$D$5:$D$404,D177,$I$5:$I$404,"ja")&amp;" van 4"))</f>
        <v/>
      </c>
    </row>
    <row r="178">
      <c r="A178" s="11" t="n"/>
      <c r="B178" s="11" t="n"/>
      <c r="C178" s="7" t="n"/>
      <c r="D178" s="11" t="n"/>
      <c r="E178" s="11" t="n"/>
      <c r="F178" s="11" t="n"/>
      <c r="G178" s="12" t="n"/>
      <c r="H178" s="11" t="n"/>
      <c r="I178" s="9" t="n"/>
      <c r="J178" s="9" t="n"/>
      <c r="K178" s="13">
        <f>IF(AND(H178="ja",J178="nee"),ROUND(37.5*G178/8,2),0)</f>
        <v/>
      </c>
      <c r="L178" s="9" t="n"/>
      <c r="M178" s="9" t="n"/>
      <c r="N178" s="11" t="n"/>
      <c r="O178" s="11">
        <f>IF(D178="","",IF(COUNTIFS($A$5:$A$404,A178,$D$5:$D$404,D178,$I$5:$I$404,"ja")=4,"compleet",COUNTIFS($A$5:$A$404,A178,$D$5:$D$404,D178,$I$5:$I$404,"ja")&amp;" van 4"))</f>
        <v/>
      </c>
    </row>
    <row r="179">
      <c r="A179" s="11" t="n"/>
      <c r="B179" s="11" t="n"/>
      <c r="C179" s="7" t="n"/>
      <c r="D179" s="11" t="n"/>
      <c r="E179" s="11" t="n"/>
      <c r="F179" s="11" t="n"/>
      <c r="G179" s="12" t="n"/>
      <c r="H179" s="11" t="n"/>
      <c r="I179" s="9" t="n"/>
      <c r="J179" s="9" t="n"/>
      <c r="K179" s="13">
        <f>IF(AND(H179="ja",J179="nee"),ROUND(37.5*G179/8,2),0)</f>
        <v/>
      </c>
      <c r="L179" s="9" t="n"/>
      <c r="M179" s="9" t="n"/>
      <c r="N179" s="11" t="n"/>
      <c r="O179" s="11">
        <f>IF(D179="","",IF(COUNTIFS($A$5:$A$404,A179,$D$5:$D$404,D179,$I$5:$I$404,"ja")=4,"compleet",COUNTIFS($A$5:$A$404,A179,$D$5:$D$404,D179,$I$5:$I$404,"ja")&amp;" van 4"))</f>
        <v/>
      </c>
    </row>
    <row r="180">
      <c r="A180" s="11" t="n"/>
      <c r="B180" s="11" t="n"/>
      <c r="C180" s="7" t="n"/>
      <c r="D180" s="11" t="n"/>
      <c r="E180" s="11" t="n"/>
      <c r="F180" s="11" t="n"/>
      <c r="G180" s="12" t="n"/>
      <c r="H180" s="11" t="n"/>
      <c r="I180" s="9" t="n"/>
      <c r="J180" s="9" t="n"/>
      <c r="K180" s="13">
        <f>IF(AND(H180="ja",J180="nee"),ROUND(37.5*G180/8,2),0)</f>
        <v/>
      </c>
      <c r="L180" s="9" t="n"/>
      <c r="M180" s="9" t="n"/>
      <c r="N180" s="11" t="n"/>
      <c r="O180" s="11">
        <f>IF(D180="","",IF(COUNTIFS($A$5:$A$404,A180,$D$5:$D$404,D180,$I$5:$I$404,"ja")=4,"compleet",COUNTIFS($A$5:$A$404,A180,$D$5:$D$404,D180,$I$5:$I$404,"ja")&amp;" van 4"))</f>
        <v/>
      </c>
    </row>
    <row r="181">
      <c r="A181" s="11" t="n"/>
      <c r="B181" s="11" t="n"/>
      <c r="C181" s="7" t="n"/>
      <c r="D181" s="11" t="n"/>
      <c r="E181" s="11" t="n"/>
      <c r="F181" s="11" t="n"/>
      <c r="G181" s="12" t="n"/>
      <c r="H181" s="11" t="n"/>
      <c r="I181" s="9" t="n"/>
      <c r="J181" s="9" t="n"/>
      <c r="K181" s="13">
        <f>IF(AND(H181="ja",J181="nee"),ROUND(37.5*G181/8,2),0)</f>
        <v/>
      </c>
      <c r="L181" s="9" t="n"/>
      <c r="M181" s="9" t="n"/>
      <c r="N181" s="11" t="n"/>
      <c r="O181" s="11">
        <f>IF(D181="","",IF(COUNTIFS($A$5:$A$404,A181,$D$5:$D$404,D181,$I$5:$I$404,"ja")=4,"compleet",COUNTIFS($A$5:$A$404,A181,$D$5:$D$404,D181,$I$5:$I$404,"ja")&amp;" van 4"))</f>
        <v/>
      </c>
    </row>
    <row r="182">
      <c r="A182" s="11" t="n"/>
      <c r="B182" s="11" t="n"/>
      <c r="C182" s="7" t="n"/>
      <c r="D182" s="11" t="n"/>
      <c r="E182" s="11" t="n"/>
      <c r="F182" s="11" t="n"/>
      <c r="G182" s="12" t="n"/>
      <c r="H182" s="11" t="n"/>
      <c r="I182" s="9" t="n"/>
      <c r="J182" s="9" t="n"/>
      <c r="K182" s="13">
        <f>IF(AND(H182="ja",J182="nee"),ROUND(37.5*G182/8,2),0)</f>
        <v/>
      </c>
      <c r="L182" s="9" t="n"/>
      <c r="M182" s="9" t="n"/>
      <c r="N182" s="11" t="n"/>
      <c r="O182" s="11">
        <f>IF(D182="","",IF(COUNTIFS($A$5:$A$404,A182,$D$5:$D$404,D182,$I$5:$I$404,"ja")=4,"compleet",COUNTIFS($A$5:$A$404,A182,$D$5:$D$404,D182,$I$5:$I$404,"ja")&amp;" van 4"))</f>
        <v/>
      </c>
    </row>
    <row r="183">
      <c r="A183" s="11" t="n"/>
      <c r="B183" s="11" t="n"/>
      <c r="C183" s="7" t="n"/>
      <c r="D183" s="11" t="n"/>
      <c r="E183" s="11" t="n"/>
      <c r="F183" s="11" t="n"/>
      <c r="G183" s="12" t="n"/>
      <c r="H183" s="11" t="n"/>
      <c r="I183" s="9" t="n"/>
      <c r="J183" s="9" t="n"/>
      <c r="K183" s="13">
        <f>IF(AND(H183="ja",J183="nee"),ROUND(37.5*G183/8,2),0)</f>
        <v/>
      </c>
      <c r="L183" s="9" t="n"/>
      <c r="M183" s="9" t="n"/>
      <c r="N183" s="11" t="n"/>
      <c r="O183" s="11">
        <f>IF(D183="","",IF(COUNTIFS($A$5:$A$404,A183,$D$5:$D$404,D183,$I$5:$I$404,"ja")=4,"compleet",COUNTIFS($A$5:$A$404,A183,$D$5:$D$404,D183,$I$5:$I$404,"ja")&amp;" van 4"))</f>
        <v/>
      </c>
    </row>
    <row r="184">
      <c r="A184" s="11" t="n"/>
      <c r="B184" s="11" t="n"/>
      <c r="C184" s="7" t="n"/>
      <c r="D184" s="11" t="n"/>
      <c r="E184" s="11" t="n"/>
      <c r="F184" s="11" t="n"/>
      <c r="G184" s="12" t="n"/>
      <c r="H184" s="11" t="n"/>
      <c r="I184" s="9" t="n"/>
      <c r="J184" s="9" t="n"/>
      <c r="K184" s="13">
        <f>IF(AND(H184="ja",J184="nee"),ROUND(37.5*G184/8,2),0)</f>
        <v/>
      </c>
      <c r="L184" s="9" t="n"/>
      <c r="M184" s="9" t="n"/>
      <c r="N184" s="11" t="n"/>
      <c r="O184" s="11">
        <f>IF(D184="","",IF(COUNTIFS($A$5:$A$404,A184,$D$5:$D$404,D184,$I$5:$I$404,"ja")=4,"compleet",COUNTIFS($A$5:$A$404,A184,$D$5:$D$404,D184,$I$5:$I$404,"ja")&amp;" van 4"))</f>
        <v/>
      </c>
    </row>
    <row r="185">
      <c r="A185" s="11" t="n"/>
      <c r="B185" s="11" t="n"/>
      <c r="C185" s="7" t="n"/>
      <c r="D185" s="11" t="n"/>
      <c r="E185" s="11" t="n"/>
      <c r="F185" s="11" t="n"/>
      <c r="G185" s="12" t="n"/>
      <c r="H185" s="11" t="n"/>
      <c r="I185" s="9" t="n"/>
      <c r="J185" s="9" t="n"/>
      <c r="K185" s="13">
        <f>IF(AND(H185="ja",J185="nee"),ROUND(37.5*G185/8,2),0)</f>
        <v/>
      </c>
      <c r="L185" s="9" t="n"/>
      <c r="M185" s="9" t="n"/>
      <c r="N185" s="11" t="n"/>
      <c r="O185" s="11">
        <f>IF(D185="","",IF(COUNTIFS($A$5:$A$404,A185,$D$5:$D$404,D185,$I$5:$I$404,"ja")=4,"compleet",COUNTIFS($A$5:$A$404,A185,$D$5:$D$404,D185,$I$5:$I$404,"ja")&amp;" van 4"))</f>
        <v/>
      </c>
    </row>
    <row r="186">
      <c r="A186" s="11" t="n"/>
      <c r="B186" s="11" t="n"/>
      <c r="C186" s="7" t="n"/>
      <c r="D186" s="11" t="n"/>
      <c r="E186" s="11" t="n"/>
      <c r="F186" s="11" t="n"/>
      <c r="G186" s="12" t="n"/>
      <c r="H186" s="11" t="n"/>
      <c r="I186" s="9" t="n"/>
      <c r="J186" s="9" t="n"/>
      <c r="K186" s="13">
        <f>IF(AND(H186="ja",J186="nee"),ROUND(37.5*G186/8,2),0)</f>
        <v/>
      </c>
      <c r="L186" s="9" t="n"/>
      <c r="M186" s="9" t="n"/>
      <c r="N186" s="11" t="n"/>
      <c r="O186" s="11">
        <f>IF(D186="","",IF(COUNTIFS($A$5:$A$404,A186,$D$5:$D$404,D186,$I$5:$I$404,"ja")=4,"compleet",COUNTIFS($A$5:$A$404,A186,$D$5:$D$404,D186,$I$5:$I$404,"ja")&amp;" van 4"))</f>
        <v/>
      </c>
    </row>
    <row r="187">
      <c r="A187" s="11" t="n"/>
      <c r="B187" s="11" t="n"/>
      <c r="C187" s="7" t="n"/>
      <c r="D187" s="11" t="n"/>
      <c r="E187" s="11" t="n"/>
      <c r="F187" s="11" t="n"/>
      <c r="G187" s="12" t="n"/>
      <c r="H187" s="11" t="n"/>
      <c r="I187" s="9" t="n"/>
      <c r="J187" s="9" t="n"/>
      <c r="K187" s="13">
        <f>IF(AND(H187="ja",J187="nee"),ROUND(37.5*G187/8,2),0)</f>
        <v/>
      </c>
      <c r="L187" s="9" t="n"/>
      <c r="M187" s="9" t="n"/>
      <c r="N187" s="11" t="n"/>
      <c r="O187" s="11">
        <f>IF(D187="","",IF(COUNTIFS($A$5:$A$404,A187,$D$5:$D$404,D187,$I$5:$I$404,"ja")=4,"compleet",COUNTIFS($A$5:$A$404,A187,$D$5:$D$404,D187,$I$5:$I$404,"ja")&amp;" van 4"))</f>
        <v/>
      </c>
    </row>
    <row r="188">
      <c r="A188" s="11" t="n"/>
      <c r="B188" s="11" t="n"/>
      <c r="C188" s="7" t="n"/>
      <c r="D188" s="11" t="n"/>
      <c r="E188" s="11" t="n"/>
      <c r="F188" s="11" t="n"/>
      <c r="G188" s="12" t="n"/>
      <c r="H188" s="11" t="n"/>
      <c r="I188" s="9" t="n"/>
      <c r="J188" s="9" t="n"/>
      <c r="K188" s="13">
        <f>IF(AND(H188="ja",J188="nee"),ROUND(37.5*G188/8,2),0)</f>
        <v/>
      </c>
      <c r="L188" s="9" t="n"/>
      <c r="M188" s="9" t="n"/>
      <c r="N188" s="11" t="n"/>
      <c r="O188" s="11">
        <f>IF(D188="","",IF(COUNTIFS($A$5:$A$404,A188,$D$5:$D$404,D188,$I$5:$I$404,"ja")=4,"compleet",COUNTIFS($A$5:$A$404,A188,$D$5:$D$404,D188,$I$5:$I$404,"ja")&amp;" van 4"))</f>
        <v/>
      </c>
    </row>
    <row r="189">
      <c r="A189" s="11" t="n"/>
      <c r="B189" s="11" t="n"/>
      <c r="C189" s="7" t="n"/>
      <c r="D189" s="11" t="n"/>
      <c r="E189" s="11" t="n"/>
      <c r="F189" s="11" t="n"/>
      <c r="G189" s="12" t="n"/>
      <c r="H189" s="11" t="n"/>
      <c r="I189" s="9" t="n"/>
      <c r="J189" s="9" t="n"/>
      <c r="K189" s="13">
        <f>IF(AND(H189="ja",J189="nee"),ROUND(37.5*G189/8,2),0)</f>
        <v/>
      </c>
      <c r="L189" s="9" t="n"/>
      <c r="M189" s="9" t="n"/>
      <c r="N189" s="11" t="n"/>
      <c r="O189" s="11">
        <f>IF(D189="","",IF(COUNTIFS($A$5:$A$404,A189,$D$5:$D$404,D189,$I$5:$I$404,"ja")=4,"compleet",COUNTIFS($A$5:$A$404,A189,$D$5:$D$404,D189,$I$5:$I$404,"ja")&amp;" van 4"))</f>
        <v/>
      </c>
    </row>
    <row r="190">
      <c r="A190" s="11" t="n"/>
      <c r="B190" s="11" t="n"/>
      <c r="C190" s="7" t="n"/>
      <c r="D190" s="11" t="n"/>
      <c r="E190" s="11" t="n"/>
      <c r="F190" s="11" t="n"/>
      <c r="G190" s="12" t="n"/>
      <c r="H190" s="11" t="n"/>
      <c r="I190" s="9" t="n"/>
      <c r="J190" s="9" t="n"/>
      <c r="K190" s="13">
        <f>IF(AND(H190="ja",J190="nee"),ROUND(37.5*G190/8,2),0)</f>
        <v/>
      </c>
      <c r="L190" s="9" t="n"/>
      <c r="M190" s="9" t="n"/>
      <c r="N190" s="11" t="n"/>
      <c r="O190" s="11">
        <f>IF(D190="","",IF(COUNTIFS($A$5:$A$404,A190,$D$5:$D$404,D190,$I$5:$I$404,"ja")=4,"compleet",COUNTIFS($A$5:$A$404,A190,$D$5:$D$404,D190,$I$5:$I$404,"ja")&amp;" van 4"))</f>
        <v/>
      </c>
    </row>
    <row r="191">
      <c r="A191" s="11" t="n"/>
      <c r="B191" s="11" t="n"/>
      <c r="C191" s="7" t="n"/>
      <c r="D191" s="11" t="n"/>
      <c r="E191" s="11" t="n"/>
      <c r="F191" s="11" t="n"/>
      <c r="G191" s="12" t="n"/>
      <c r="H191" s="11" t="n"/>
      <c r="I191" s="9" t="n"/>
      <c r="J191" s="9" t="n"/>
      <c r="K191" s="13">
        <f>IF(AND(H191="ja",J191="nee"),ROUND(37.5*G191/8,2),0)</f>
        <v/>
      </c>
      <c r="L191" s="9" t="n"/>
      <c r="M191" s="9" t="n"/>
      <c r="N191" s="11" t="n"/>
      <c r="O191" s="11">
        <f>IF(D191="","",IF(COUNTIFS($A$5:$A$404,A191,$D$5:$D$404,D191,$I$5:$I$404,"ja")=4,"compleet",COUNTIFS($A$5:$A$404,A191,$D$5:$D$404,D191,$I$5:$I$404,"ja")&amp;" van 4"))</f>
        <v/>
      </c>
    </row>
    <row r="192">
      <c r="A192" s="11" t="n"/>
      <c r="B192" s="11" t="n"/>
      <c r="C192" s="7" t="n"/>
      <c r="D192" s="11" t="n"/>
      <c r="E192" s="11" t="n"/>
      <c r="F192" s="11" t="n"/>
      <c r="G192" s="12" t="n"/>
      <c r="H192" s="11" t="n"/>
      <c r="I192" s="9" t="n"/>
      <c r="J192" s="9" t="n"/>
      <c r="K192" s="13">
        <f>IF(AND(H192="ja",J192="nee"),ROUND(37.5*G192/8,2),0)</f>
        <v/>
      </c>
      <c r="L192" s="9" t="n"/>
      <c r="M192" s="9" t="n"/>
      <c r="N192" s="11" t="n"/>
      <c r="O192" s="11">
        <f>IF(D192="","",IF(COUNTIFS($A$5:$A$404,A192,$D$5:$D$404,D192,$I$5:$I$404,"ja")=4,"compleet",COUNTIFS($A$5:$A$404,A192,$D$5:$D$404,D192,$I$5:$I$404,"ja")&amp;" van 4"))</f>
        <v/>
      </c>
    </row>
    <row r="193">
      <c r="A193" s="11" t="n"/>
      <c r="B193" s="11" t="n"/>
      <c r="C193" s="7" t="n"/>
      <c r="D193" s="11" t="n"/>
      <c r="E193" s="11" t="n"/>
      <c r="F193" s="11" t="n"/>
      <c r="G193" s="12" t="n"/>
      <c r="H193" s="11" t="n"/>
      <c r="I193" s="9" t="n"/>
      <c r="J193" s="9" t="n"/>
      <c r="K193" s="13">
        <f>IF(AND(H193="ja",J193="nee"),ROUND(37.5*G193/8,2),0)</f>
        <v/>
      </c>
      <c r="L193" s="9" t="n"/>
      <c r="M193" s="9" t="n"/>
      <c r="N193" s="11" t="n"/>
      <c r="O193" s="11">
        <f>IF(D193="","",IF(COUNTIFS($A$5:$A$404,A193,$D$5:$D$404,D193,$I$5:$I$404,"ja")=4,"compleet",COUNTIFS($A$5:$A$404,A193,$D$5:$D$404,D193,$I$5:$I$404,"ja")&amp;" van 4"))</f>
        <v/>
      </c>
    </row>
    <row r="194">
      <c r="A194" s="11" t="n"/>
      <c r="B194" s="11" t="n"/>
      <c r="C194" s="7" t="n"/>
      <c r="D194" s="11" t="n"/>
      <c r="E194" s="11" t="n"/>
      <c r="F194" s="11" t="n"/>
      <c r="G194" s="12" t="n"/>
      <c r="H194" s="11" t="n"/>
      <c r="I194" s="9" t="n"/>
      <c r="J194" s="9" t="n"/>
      <c r="K194" s="13">
        <f>IF(AND(H194="ja",J194="nee"),ROUND(37.5*G194/8,2),0)</f>
        <v/>
      </c>
      <c r="L194" s="9" t="n"/>
      <c r="M194" s="9" t="n"/>
      <c r="N194" s="11" t="n"/>
      <c r="O194" s="11">
        <f>IF(D194="","",IF(COUNTIFS($A$5:$A$404,A194,$D$5:$D$404,D194,$I$5:$I$404,"ja")=4,"compleet",COUNTIFS($A$5:$A$404,A194,$D$5:$D$404,D194,$I$5:$I$404,"ja")&amp;" van 4"))</f>
        <v/>
      </c>
    </row>
    <row r="195">
      <c r="A195" s="11" t="n"/>
      <c r="B195" s="11" t="n"/>
      <c r="C195" s="7" t="n"/>
      <c r="D195" s="11" t="n"/>
      <c r="E195" s="11" t="n"/>
      <c r="F195" s="11" t="n"/>
      <c r="G195" s="12" t="n"/>
      <c r="H195" s="11" t="n"/>
      <c r="I195" s="9" t="n"/>
      <c r="J195" s="9" t="n"/>
      <c r="K195" s="13">
        <f>IF(AND(H195="ja",J195="nee"),ROUND(37.5*G195/8,2),0)</f>
        <v/>
      </c>
      <c r="L195" s="9" t="n"/>
      <c r="M195" s="9" t="n"/>
      <c r="N195" s="11" t="n"/>
      <c r="O195" s="11">
        <f>IF(D195="","",IF(COUNTIFS($A$5:$A$404,A195,$D$5:$D$404,D195,$I$5:$I$404,"ja")=4,"compleet",COUNTIFS($A$5:$A$404,A195,$D$5:$D$404,D195,$I$5:$I$404,"ja")&amp;" van 4"))</f>
        <v/>
      </c>
    </row>
    <row r="196">
      <c r="A196" s="11" t="n"/>
      <c r="B196" s="11" t="n"/>
      <c r="C196" s="7" t="n"/>
      <c r="D196" s="11" t="n"/>
      <c r="E196" s="11" t="n"/>
      <c r="F196" s="11" t="n"/>
      <c r="G196" s="12" t="n"/>
      <c r="H196" s="11" t="n"/>
      <c r="I196" s="9" t="n"/>
      <c r="J196" s="9" t="n"/>
      <c r="K196" s="13">
        <f>IF(AND(H196="ja",J196="nee"),ROUND(37.5*G196/8,2),0)</f>
        <v/>
      </c>
      <c r="L196" s="9" t="n"/>
      <c r="M196" s="9" t="n"/>
      <c r="N196" s="11" t="n"/>
      <c r="O196" s="11">
        <f>IF(D196="","",IF(COUNTIFS($A$5:$A$404,A196,$D$5:$D$404,D196,$I$5:$I$404,"ja")=4,"compleet",COUNTIFS($A$5:$A$404,A196,$D$5:$D$404,D196,$I$5:$I$404,"ja")&amp;" van 4"))</f>
        <v/>
      </c>
    </row>
    <row r="197">
      <c r="A197" s="11" t="n"/>
      <c r="B197" s="11" t="n"/>
      <c r="C197" s="7" t="n"/>
      <c r="D197" s="11" t="n"/>
      <c r="E197" s="11" t="n"/>
      <c r="F197" s="11" t="n"/>
      <c r="G197" s="12" t="n"/>
      <c r="H197" s="11" t="n"/>
      <c r="I197" s="9" t="n"/>
      <c r="J197" s="9" t="n"/>
      <c r="K197" s="13">
        <f>IF(AND(H197="ja",J197="nee"),ROUND(37.5*G197/8,2),0)</f>
        <v/>
      </c>
      <c r="L197" s="9" t="n"/>
      <c r="M197" s="9" t="n"/>
      <c r="N197" s="11" t="n"/>
      <c r="O197" s="11">
        <f>IF(D197="","",IF(COUNTIFS($A$5:$A$404,A197,$D$5:$D$404,D197,$I$5:$I$404,"ja")=4,"compleet",COUNTIFS($A$5:$A$404,A197,$D$5:$D$404,D197,$I$5:$I$404,"ja")&amp;" van 4"))</f>
        <v/>
      </c>
    </row>
    <row r="198">
      <c r="A198" s="11" t="n"/>
      <c r="B198" s="11" t="n"/>
      <c r="C198" s="7" t="n"/>
      <c r="D198" s="11" t="n"/>
      <c r="E198" s="11" t="n"/>
      <c r="F198" s="11" t="n"/>
      <c r="G198" s="12" t="n"/>
      <c r="H198" s="11" t="n"/>
      <c r="I198" s="9" t="n"/>
      <c r="J198" s="9" t="n"/>
      <c r="K198" s="13">
        <f>IF(AND(H198="ja",J198="nee"),ROUND(37.5*G198/8,2),0)</f>
        <v/>
      </c>
      <c r="L198" s="9" t="n"/>
      <c r="M198" s="9" t="n"/>
      <c r="N198" s="11" t="n"/>
      <c r="O198" s="11">
        <f>IF(D198="","",IF(COUNTIFS($A$5:$A$404,A198,$D$5:$D$404,D198,$I$5:$I$404,"ja")=4,"compleet",COUNTIFS($A$5:$A$404,A198,$D$5:$D$404,D198,$I$5:$I$404,"ja")&amp;" van 4"))</f>
        <v/>
      </c>
    </row>
    <row r="199">
      <c r="A199" s="11" t="n"/>
      <c r="B199" s="11" t="n"/>
      <c r="C199" s="7" t="n"/>
      <c r="D199" s="11" t="n"/>
      <c r="E199" s="11" t="n"/>
      <c r="F199" s="11" t="n"/>
      <c r="G199" s="12" t="n"/>
      <c r="H199" s="11" t="n"/>
      <c r="I199" s="9" t="n"/>
      <c r="J199" s="9" t="n"/>
      <c r="K199" s="13">
        <f>IF(AND(H199="ja",J199="nee"),ROUND(37.5*G199/8,2),0)</f>
        <v/>
      </c>
      <c r="L199" s="9" t="n"/>
      <c r="M199" s="9" t="n"/>
      <c r="N199" s="11" t="n"/>
      <c r="O199" s="11">
        <f>IF(D199="","",IF(COUNTIFS($A$5:$A$404,A199,$D$5:$D$404,D199,$I$5:$I$404,"ja")=4,"compleet",COUNTIFS($A$5:$A$404,A199,$D$5:$D$404,D199,$I$5:$I$404,"ja")&amp;" van 4"))</f>
        <v/>
      </c>
    </row>
    <row r="200">
      <c r="A200" s="11" t="n"/>
      <c r="B200" s="11" t="n"/>
      <c r="C200" s="7" t="n"/>
      <c r="D200" s="11" t="n"/>
      <c r="E200" s="11" t="n"/>
      <c r="F200" s="11" t="n"/>
      <c r="G200" s="12" t="n"/>
      <c r="H200" s="11" t="n"/>
      <c r="I200" s="9" t="n"/>
      <c r="J200" s="9" t="n"/>
      <c r="K200" s="13">
        <f>IF(AND(H200="ja",J200="nee"),ROUND(37.5*G200/8,2),0)</f>
        <v/>
      </c>
      <c r="L200" s="9" t="n"/>
      <c r="M200" s="9" t="n"/>
      <c r="N200" s="11" t="n"/>
      <c r="O200" s="11">
        <f>IF(D200="","",IF(COUNTIFS($A$5:$A$404,A200,$D$5:$D$404,D200,$I$5:$I$404,"ja")=4,"compleet",COUNTIFS($A$5:$A$404,A200,$D$5:$D$404,D200,$I$5:$I$404,"ja")&amp;" van 4"))</f>
        <v/>
      </c>
    </row>
    <row r="201">
      <c r="A201" s="11" t="n"/>
      <c r="B201" s="11" t="n"/>
      <c r="C201" s="7" t="n"/>
      <c r="D201" s="11" t="n"/>
      <c r="E201" s="11" t="n"/>
      <c r="F201" s="11" t="n"/>
      <c r="G201" s="12" t="n"/>
      <c r="H201" s="11" t="n"/>
      <c r="I201" s="9" t="n"/>
      <c r="J201" s="9" t="n"/>
      <c r="K201" s="13">
        <f>IF(AND(H201="ja",J201="nee"),ROUND(37.5*G201/8,2),0)</f>
        <v/>
      </c>
      <c r="L201" s="9" t="n"/>
      <c r="M201" s="9" t="n"/>
      <c r="N201" s="11" t="n"/>
      <c r="O201" s="11">
        <f>IF(D201="","",IF(COUNTIFS($A$5:$A$404,A201,$D$5:$D$404,D201,$I$5:$I$404,"ja")=4,"compleet",COUNTIFS($A$5:$A$404,A201,$D$5:$D$404,D201,$I$5:$I$404,"ja")&amp;" van 4"))</f>
        <v/>
      </c>
    </row>
    <row r="202">
      <c r="A202" s="11" t="n"/>
      <c r="B202" s="11" t="n"/>
      <c r="C202" s="7" t="n"/>
      <c r="D202" s="11" t="n"/>
      <c r="E202" s="11" t="n"/>
      <c r="F202" s="11" t="n"/>
      <c r="G202" s="12" t="n"/>
      <c r="H202" s="11" t="n"/>
      <c r="I202" s="9" t="n"/>
      <c r="J202" s="9" t="n"/>
      <c r="K202" s="13">
        <f>IF(AND(H202="ja",J202="nee"),ROUND(37.5*G202/8,2),0)</f>
        <v/>
      </c>
      <c r="L202" s="9" t="n"/>
      <c r="M202" s="9" t="n"/>
      <c r="N202" s="11" t="n"/>
      <c r="O202" s="11">
        <f>IF(D202="","",IF(COUNTIFS($A$5:$A$404,A202,$D$5:$D$404,D202,$I$5:$I$404,"ja")=4,"compleet",COUNTIFS($A$5:$A$404,A202,$D$5:$D$404,D202,$I$5:$I$404,"ja")&amp;" van 4"))</f>
        <v/>
      </c>
    </row>
    <row r="203">
      <c r="A203" s="11" t="n"/>
      <c r="B203" s="11" t="n"/>
      <c r="C203" s="7" t="n"/>
      <c r="D203" s="11" t="n"/>
      <c r="E203" s="11" t="n"/>
      <c r="F203" s="11" t="n"/>
      <c r="G203" s="12" t="n"/>
      <c r="H203" s="11" t="n"/>
      <c r="I203" s="9" t="n"/>
      <c r="J203" s="9" t="n"/>
      <c r="K203" s="13">
        <f>IF(AND(H203="ja",J203="nee"),ROUND(37.5*G203/8,2),0)</f>
        <v/>
      </c>
      <c r="L203" s="9" t="n"/>
      <c r="M203" s="9" t="n"/>
      <c r="N203" s="11" t="n"/>
      <c r="O203" s="11">
        <f>IF(D203="","",IF(COUNTIFS($A$5:$A$404,A203,$D$5:$D$404,D203,$I$5:$I$404,"ja")=4,"compleet",COUNTIFS($A$5:$A$404,A203,$D$5:$D$404,D203,$I$5:$I$404,"ja")&amp;" van 4"))</f>
        <v/>
      </c>
    </row>
    <row r="204">
      <c r="A204" s="11" t="n"/>
      <c r="B204" s="11" t="n"/>
      <c r="C204" s="7" t="n"/>
      <c r="D204" s="11" t="n"/>
      <c r="E204" s="11" t="n"/>
      <c r="F204" s="11" t="n"/>
      <c r="G204" s="12" t="n"/>
      <c r="H204" s="11" t="n"/>
      <c r="I204" s="9" t="n"/>
      <c r="J204" s="9" t="n"/>
      <c r="K204" s="13">
        <f>IF(AND(H204="ja",J204="nee"),ROUND(37.5*G204/8,2),0)</f>
        <v/>
      </c>
      <c r="L204" s="9" t="n"/>
      <c r="M204" s="9" t="n"/>
      <c r="N204" s="11" t="n"/>
      <c r="O204" s="11">
        <f>IF(D204="","",IF(COUNTIFS($A$5:$A$404,A204,$D$5:$D$404,D204,$I$5:$I$404,"ja")=4,"compleet",COUNTIFS($A$5:$A$404,A204,$D$5:$D$404,D204,$I$5:$I$404,"ja")&amp;" van 4"))</f>
        <v/>
      </c>
    </row>
    <row r="205">
      <c r="A205" s="11" t="n"/>
      <c r="B205" s="11" t="n"/>
      <c r="C205" s="7" t="n"/>
      <c r="D205" s="11" t="n"/>
      <c r="E205" s="11" t="n"/>
      <c r="F205" s="11" t="n"/>
      <c r="G205" s="12" t="n"/>
      <c r="H205" s="11" t="n"/>
      <c r="I205" s="9" t="n"/>
      <c r="J205" s="9" t="n"/>
      <c r="K205" s="13">
        <f>IF(AND(H205="ja",J205="nee"),ROUND(37.5*G205/8,2),0)</f>
        <v/>
      </c>
      <c r="L205" s="9" t="n"/>
      <c r="M205" s="9" t="n"/>
      <c r="N205" s="11" t="n"/>
      <c r="O205" s="11">
        <f>IF(D205="","",IF(COUNTIFS($A$5:$A$404,A205,$D$5:$D$404,D205,$I$5:$I$404,"ja")=4,"compleet",COUNTIFS($A$5:$A$404,A205,$D$5:$D$404,D205,$I$5:$I$404,"ja")&amp;" van 4"))</f>
        <v/>
      </c>
    </row>
    <row r="206">
      <c r="A206" s="11" t="n"/>
      <c r="B206" s="11" t="n"/>
      <c r="C206" s="7" t="n"/>
      <c r="D206" s="11" t="n"/>
      <c r="E206" s="11" t="n"/>
      <c r="F206" s="11" t="n"/>
      <c r="G206" s="12" t="n"/>
      <c r="H206" s="11" t="n"/>
      <c r="I206" s="9" t="n"/>
      <c r="J206" s="9" t="n"/>
      <c r="K206" s="13">
        <f>IF(AND(H206="ja",J206="nee"),ROUND(37.5*G206/8,2),0)</f>
        <v/>
      </c>
      <c r="L206" s="9" t="n"/>
      <c r="M206" s="9" t="n"/>
      <c r="N206" s="11" t="n"/>
      <c r="O206" s="11">
        <f>IF(D206="","",IF(COUNTIFS($A$5:$A$404,A206,$D$5:$D$404,D206,$I$5:$I$404,"ja")=4,"compleet",COUNTIFS($A$5:$A$404,A206,$D$5:$D$404,D206,$I$5:$I$404,"ja")&amp;" van 4"))</f>
        <v/>
      </c>
    </row>
    <row r="207">
      <c r="A207" s="11" t="n"/>
      <c r="B207" s="11" t="n"/>
      <c r="C207" s="7" t="n"/>
      <c r="D207" s="11" t="n"/>
      <c r="E207" s="11" t="n"/>
      <c r="F207" s="11" t="n"/>
      <c r="G207" s="12" t="n"/>
      <c r="H207" s="11" t="n"/>
      <c r="I207" s="9" t="n"/>
      <c r="J207" s="9" t="n"/>
      <c r="K207" s="13">
        <f>IF(AND(H207="ja",J207="nee"),ROUND(37.5*G207/8,2),0)</f>
        <v/>
      </c>
      <c r="L207" s="9" t="n"/>
      <c r="M207" s="9" t="n"/>
      <c r="N207" s="11" t="n"/>
      <c r="O207" s="11">
        <f>IF(D207="","",IF(COUNTIFS($A$5:$A$404,A207,$D$5:$D$404,D207,$I$5:$I$404,"ja")=4,"compleet",COUNTIFS($A$5:$A$404,A207,$D$5:$D$404,D207,$I$5:$I$404,"ja")&amp;" van 4"))</f>
        <v/>
      </c>
    </row>
    <row r="208">
      <c r="A208" s="11" t="n"/>
      <c r="B208" s="11" t="n"/>
      <c r="C208" s="7" t="n"/>
      <c r="D208" s="11" t="n"/>
      <c r="E208" s="11" t="n"/>
      <c r="F208" s="11" t="n"/>
      <c r="G208" s="12" t="n"/>
      <c r="H208" s="11" t="n"/>
      <c r="I208" s="9" t="n"/>
      <c r="J208" s="9" t="n"/>
      <c r="K208" s="13">
        <f>IF(AND(H208="ja",J208="nee"),ROUND(37.5*G208/8,2),0)</f>
        <v/>
      </c>
      <c r="L208" s="9" t="n"/>
      <c r="M208" s="9" t="n"/>
      <c r="N208" s="11" t="n"/>
      <c r="O208" s="11">
        <f>IF(D208="","",IF(COUNTIFS($A$5:$A$404,A208,$D$5:$D$404,D208,$I$5:$I$404,"ja")=4,"compleet",COUNTIFS($A$5:$A$404,A208,$D$5:$D$404,D208,$I$5:$I$404,"ja")&amp;" van 4"))</f>
        <v/>
      </c>
    </row>
    <row r="209">
      <c r="A209" s="11" t="n"/>
      <c r="B209" s="11" t="n"/>
      <c r="C209" s="7" t="n"/>
      <c r="D209" s="11" t="n"/>
      <c r="E209" s="11" t="n"/>
      <c r="F209" s="11" t="n"/>
      <c r="G209" s="12" t="n"/>
      <c r="H209" s="11" t="n"/>
      <c r="I209" s="9" t="n"/>
      <c r="J209" s="9" t="n"/>
      <c r="K209" s="13">
        <f>IF(AND(H209="ja",J209="nee"),ROUND(37.5*G209/8,2),0)</f>
        <v/>
      </c>
      <c r="L209" s="9" t="n"/>
      <c r="M209" s="9" t="n"/>
      <c r="N209" s="11" t="n"/>
      <c r="O209" s="11">
        <f>IF(D209="","",IF(COUNTIFS($A$5:$A$404,A209,$D$5:$D$404,D209,$I$5:$I$404,"ja")=4,"compleet",COUNTIFS($A$5:$A$404,A209,$D$5:$D$404,D209,$I$5:$I$404,"ja")&amp;" van 4"))</f>
        <v/>
      </c>
    </row>
    <row r="210">
      <c r="A210" s="11" t="n"/>
      <c r="B210" s="11" t="n"/>
      <c r="C210" s="7" t="n"/>
      <c r="D210" s="11" t="n"/>
      <c r="E210" s="11" t="n"/>
      <c r="F210" s="11" t="n"/>
      <c r="G210" s="12" t="n"/>
      <c r="H210" s="11" t="n"/>
      <c r="I210" s="9" t="n"/>
      <c r="J210" s="9" t="n"/>
      <c r="K210" s="13">
        <f>IF(AND(H210="ja",J210="nee"),ROUND(37.5*G210/8,2),0)</f>
        <v/>
      </c>
      <c r="L210" s="9" t="n"/>
      <c r="M210" s="9" t="n"/>
      <c r="N210" s="11" t="n"/>
      <c r="O210" s="11">
        <f>IF(D210="","",IF(COUNTIFS($A$5:$A$404,A210,$D$5:$D$404,D210,$I$5:$I$404,"ja")=4,"compleet",COUNTIFS($A$5:$A$404,A210,$D$5:$D$404,D210,$I$5:$I$404,"ja")&amp;" van 4"))</f>
        <v/>
      </c>
    </row>
    <row r="211">
      <c r="A211" s="11" t="n"/>
      <c r="B211" s="11" t="n"/>
      <c r="C211" s="7" t="n"/>
      <c r="D211" s="11" t="n"/>
      <c r="E211" s="11" t="n"/>
      <c r="F211" s="11" t="n"/>
      <c r="G211" s="12" t="n"/>
      <c r="H211" s="11" t="n"/>
      <c r="I211" s="9" t="n"/>
      <c r="J211" s="9" t="n"/>
      <c r="K211" s="13">
        <f>IF(AND(H211="ja",J211="nee"),ROUND(37.5*G211/8,2),0)</f>
        <v/>
      </c>
      <c r="L211" s="9" t="n"/>
      <c r="M211" s="9" t="n"/>
      <c r="N211" s="11" t="n"/>
      <c r="O211" s="11">
        <f>IF(D211="","",IF(COUNTIFS($A$5:$A$404,A211,$D$5:$D$404,D211,$I$5:$I$404,"ja")=4,"compleet",COUNTIFS($A$5:$A$404,A211,$D$5:$D$404,D211,$I$5:$I$404,"ja")&amp;" van 4"))</f>
        <v/>
      </c>
    </row>
    <row r="212">
      <c r="A212" s="11" t="n"/>
      <c r="B212" s="11" t="n"/>
      <c r="C212" s="7" t="n"/>
      <c r="D212" s="11" t="n"/>
      <c r="E212" s="11" t="n"/>
      <c r="F212" s="11" t="n"/>
      <c r="G212" s="12" t="n"/>
      <c r="H212" s="11" t="n"/>
      <c r="I212" s="9" t="n"/>
      <c r="J212" s="9" t="n"/>
      <c r="K212" s="13">
        <f>IF(AND(H212="ja",J212="nee"),ROUND(37.5*G212/8,2),0)</f>
        <v/>
      </c>
      <c r="L212" s="9" t="n"/>
      <c r="M212" s="9" t="n"/>
      <c r="N212" s="11" t="n"/>
      <c r="O212" s="11">
        <f>IF(D212="","",IF(COUNTIFS($A$5:$A$404,A212,$D$5:$D$404,D212,$I$5:$I$404,"ja")=4,"compleet",COUNTIFS($A$5:$A$404,A212,$D$5:$D$404,D212,$I$5:$I$404,"ja")&amp;" van 4"))</f>
        <v/>
      </c>
    </row>
    <row r="213">
      <c r="A213" s="11" t="n"/>
      <c r="B213" s="11" t="n"/>
      <c r="C213" s="7" t="n"/>
      <c r="D213" s="11" t="n"/>
      <c r="E213" s="11" t="n"/>
      <c r="F213" s="11" t="n"/>
      <c r="G213" s="12" t="n"/>
      <c r="H213" s="11" t="n"/>
      <c r="I213" s="9" t="n"/>
      <c r="J213" s="9" t="n"/>
      <c r="K213" s="13">
        <f>IF(AND(H213="ja",J213="nee"),ROUND(37.5*G213/8,2),0)</f>
        <v/>
      </c>
      <c r="L213" s="9" t="n"/>
      <c r="M213" s="9" t="n"/>
      <c r="N213" s="11" t="n"/>
      <c r="O213" s="11">
        <f>IF(D213="","",IF(COUNTIFS($A$5:$A$404,A213,$D$5:$D$404,D213,$I$5:$I$404,"ja")=4,"compleet",COUNTIFS($A$5:$A$404,A213,$D$5:$D$404,D213,$I$5:$I$404,"ja")&amp;" van 4"))</f>
        <v/>
      </c>
    </row>
    <row r="214">
      <c r="A214" s="11" t="n"/>
      <c r="B214" s="11" t="n"/>
      <c r="C214" s="7" t="n"/>
      <c r="D214" s="11" t="n"/>
      <c r="E214" s="11" t="n"/>
      <c r="F214" s="11" t="n"/>
      <c r="G214" s="12" t="n"/>
      <c r="H214" s="11" t="n"/>
      <c r="I214" s="9" t="n"/>
      <c r="J214" s="9" t="n"/>
      <c r="K214" s="13">
        <f>IF(AND(H214="ja",J214="nee"),ROUND(37.5*G214/8,2),0)</f>
        <v/>
      </c>
      <c r="L214" s="9" t="n"/>
      <c r="M214" s="9" t="n"/>
      <c r="N214" s="11" t="n"/>
      <c r="O214" s="11">
        <f>IF(D214="","",IF(COUNTIFS($A$5:$A$404,A214,$D$5:$D$404,D214,$I$5:$I$404,"ja")=4,"compleet",COUNTIFS($A$5:$A$404,A214,$D$5:$D$404,D214,$I$5:$I$404,"ja")&amp;" van 4"))</f>
        <v/>
      </c>
    </row>
    <row r="215">
      <c r="A215" s="11" t="n"/>
      <c r="B215" s="11" t="n"/>
      <c r="C215" s="7" t="n"/>
      <c r="D215" s="11" t="n"/>
      <c r="E215" s="11" t="n"/>
      <c r="F215" s="11" t="n"/>
      <c r="G215" s="12" t="n"/>
      <c r="H215" s="11" t="n"/>
      <c r="I215" s="9" t="n"/>
      <c r="J215" s="9" t="n"/>
      <c r="K215" s="13">
        <f>IF(AND(H215="ja",J215="nee"),ROUND(37.5*G215/8,2),0)</f>
        <v/>
      </c>
      <c r="L215" s="9" t="n"/>
      <c r="M215" s="9" t="n"/>
      <c r="N215" s="11" t="n"/>
      <c r="O215" s="11">
        <f>IF(D215="","",IF(COUNTIFS($A$5:$A$404,A215,$D$5:$D$404,D215,$I$5:$I$404,"ja")=4,"compleet",COUNTIFS($A$5:$A$404,A215,$D$5:$D$404,D215,$I$5:$I$404,"ja")&amp;" van 4"))</f>
        <v/>
      </c>
    </row>
    <row r="216">
      <c r="A216" s="11" t="n"/>
      <c r="B216" s="11" t="n"/>
      <c r="C216" s="7" t="n"/>
      <c r="D216" s="11" t="n"/>
      <c r="E216" s="11" t="n"/>
      <c r="F216" s="11" t="n"/>
      <c r="G216" s="12" t="n"/>
      <c r="H216" s="11" t="n"/>
      <c r="I216" s="9" t="n"/>
      <c r="J216" s="9" t="n"/>
      <c r="K216" s="13">
        <f>IF(AND(H216="ja",J216="nee"),ROUND(37.5*G216/8,2),0)</f>
        <v/>
      </c>
      <c r="L216" s="9" t="n"/>
      <c r="M216" s="9" t="n"/>
      <c r="N216" s="11" t="n"/>
      <c r="O216" s="11">
        <f>IF(D216="","",IF(COUNTIFS($A$5:$A$404,A216,$D$5:$D$404,D216,$I$5:$I$404,"ja")=4,"compleet",COUNTIFS($A$5:$A$404,A216,$D$5:$D$404,D216,$I$5:$I$404,"ja")&amp;" van 4"))</f>
        <v/>
      </c>
    </row>
    <row r="217">
      <c r="A217" s="11" t="n"/>
      <c r="B217" s="11" t="n"/>
      <c r="C217" s="7" t="n"/>
      <c r="D217" s="11" t="n"/>
      <c r="E217" s="11" t="n"/>
      <c r="F217" s="11" t="n"/>
      <c r="G217" s="12" t="n"/>
      <c r="H217" s="11" t="n"/>
      <c r="I217" s="9" t="n"/>
      <c r="J217" s="9" t="n"/>
      <c r="K217" s="13">
        <f>IF(AND(H217="ja",J217="nee"),ROUND(37.5*G217/8,2),0)</f>
        <v/>
      </c>
      <c r="L217" s="9" t="n"/>
      <c r="M217" s="9" t="n"/>
      <c r="N217" s="11" t="n"/>
      <c r="O217" s="11">
        <f>IF(D217="","",IF(COUNTIFS($A$5:$A$404,A217,$D$5:$D$404,D217,$I$5:$I$404,"ja")=4,"compleet",COUNTIFS($A$5:$A$404,A217,$D$5:$D$404,D217,$I$5:$I$404,"ja")&amp;" van 4"))</f>
        <v/>
      </c>
    </row>
    <row r="218">
      <c r="A218" s="11" t="n"/>
      <c r="B218" s="11" t="n"/>
      <c r="C218" s="7" t="n"/>
      <c r="D218" s="11" t="n"/>
      <c r="E218" s="11" t="n"/>
      <c r="F218" s="11" t="n"/>
      <c r="G218" s="12" t="n"/>
      <c r="H218" s="11" t="n"/>
      <c r="I218" s="9" t="n"/>
      <c r="J218" s="9" t="n"/>
      <c r="K218" s="13">
        <f>IF(AND(H218="ja",J218="nee"),ROUND(37.5*G218/8,2),0)</f>
        <v/>
      </c>
      <c r="L218" s="9" t="n"/>
      <c r="M218" s="9" t="n"/>
      <c r="N218" s="11" t="n"/>
      <c r="O218" s="11">
        <f>IF(D218="","",IF(COUNTIFS($A$5:$A$404,A218,$D$5:$D$404,D218,$I$5:$I$404,"ja")=4,"compleet",COUNTIFS($A$5:$A$404,A218,$D$5:$D$404,D218,$I$5:$I$404,"ja")&amp;" van 4"))</f>
        <v/>
      </c>
    </row>
    <row r="219">
      <c r="A219" s="11" t="n"/>
      <c r="B219" s="11" t="n"/>
      <c r="C219" s="7" t="n"/>
      <c r="D219" s="11" t="n"/>
      <c r="E219" s="11" t="n"/>
      <c r="F219" s="11" t="n"/>
      <c r="G219" s="12" t="n"/>
      <c r="H219" s="11" t="n"/>
      <c r="I219" s="9" t="n"/>
      <c r="J219" s="9" t="n"/>
      <c r="K219" s="13">
        <f>IF(AND(H219="ja",J219="nee"),ROUND(37.5*G219/8,2),0)</f>
        <v/>
      </c>
      <c r="L219" s="9" t="n"/>
      <c r="M219" s="9" t="n"/>
      <c r="N219" s="11" t="n"/>
      <c r="O219" s="11">
        <f>IF(D219="","",IF(COUNTIFS($A$5:$A$404,A219,$D$5:$D$404,D219,$I$5:$I$404,"ja")=4,"compleet",COUNTIFS($A$5:$A$404,A219,$D$5:$D$404,D219,$I$5:$I$404,"ja")&amp;" van 4"))</f>
        <v/>
      </c>
    </row>
    <row r="220">
      <c r="A220" s="11" t="n"/>
      <c r="B220" s="11" t="n"/>
      <c r="C220" s="7" t="n"/>
      <c r="D220" s="11" t="n"/>
      <c r="E220" s="11" t="n"/>
      <c r="F220" s="11" t="n"/>
      <c r="G220" s="12" t="n"/>
      <c r="H220" s="11" t="n"/>
      <c r="I220" s="9" t="n"/>
      <c r="J220" s="9" t="n"/>
      <c r="K220" s="13">
        <f>IF(AND(H220="ja",J220="nee"),ROUND(37.5*G220/8,2),0)</f>
        <v/>
      </c>
      <c r="L220" s="9" t="n"/>
      <c r="M220" s="9" t="n"/>
      <c r="N220" s="11" t="n"/>
      <c r="O220" s="11">
        <f>IF(D220="","",IF(COUNTIFS($A$5:$A$404,A220,$D$5:$D$404,D220,$I$5:$I$404,"ja")=4,"compleet",COUNTIFS($A$5:$A$404,A220,$D$5:$D$404,D220,$I$5:$I$404,"ja")&amp;" van 4"))</f>
        <v/>
      </c>
    </row>
    <row r="221">
      <c r="A221" s="11" t="n"/>
      <c r="B221" s="11" t="n"/>
      <c r="C221" s="7" t="n"/>
      <c r="D221" s="11" t="n"/>
      <c r="E221" s="11" t="n"/>
      <c r="F221" s="11" t="n"/>
      <c r="G221" s="12" t="n"/>
      <c r="H221" s="11" t="n"/>
      <c r="I221" s="9" t="n"/>
      <c r="J221" s="9" t="n"/>
      <c r="K221" s="13">
        <f>IF(AND(H221="ja",J221="nee"),ROUND(37.5*G221/8,2),0)</f>
        <v/>
      </c>
      <c r="L221" s="9" t="n"/>
      <c r="M221" s="9" t="n"/>
      <c r="N221" s="11" t="n"/>
      <c r="O221" s="11">
        <f>IF(D221="","",IF(COUNTIFS($A$5:$A$404,A221,$D$5:$D$404,D221,$I$5:$I$404,"ja")=4,"compleet",COUNTIFS($A$5:$A$404,A221,$D$5:$D$404,D221,$I$5:$I$404,"ja")&amp;" van 4"))</f>
        <v/>
      </c>
    </row>
    <row r="222">
      <c r="A222" s="11" t="n"/>
      <c r="B222" s="11" t="n"/>
      <c r="C222" s="7" t="n"/>
      <c r="D222" s="11" t="n"/>
      <c r="E222" s="11" t="n"/>
      <c r="F222" s="11" t="n"/>
      <c r="G222" s="12" t="n"/>
      <c r="H222" s="11" t="n"/>
      <c r="I222" s="9" t="n"/>
      <c r="J222" s="9" t="n"/>
      <c r="K222" s="13">
        <f>IF(AND(H222="ja",J222="nee"),ROUND(37.5*G222/8,2),0)</f>
        <v/>
      </c>
      <c r="L222" s="9" t="n"/>
      <c r="M222" s="9" t="n"/>
      <c r="N222" s="11" t="n"/>
      <c r="O222" s="11">
        <f>IF(D222="","",IF(COUNTIFS($A$5:$A$404,A222,$D$5:$D$404,D222,$I$5:$I$404,"ja")=4,"compleet",COUNTIFS($A$5:$A$404,A222,$D$5:$D$404,D222,$I$5:$I$404,"ja")&amp;" van 4"))</f>
        <v/>
      </c>
    </row>
    <row r="223">
      <c r="A223" s="11" t="n"/>
      <c r="B223" s="11" t="n"/>
      <c r="C223" s="7" t="n"/>
      <c r="D223" s="11" t="n"/>
      <c r="E223" s="11" t="n"/>
      <c r="F223" s="11" t="n"/>
      <c r="G223" s="12" t="n"/>
      <c r="H223" s="11" t="n"/>
      <c r="I223" s="9" t="n"/>
      <c r="J223" s="9" t="n"/>
      <c r="K223" s="13">
        <f>IF(AND(H223="ja",J223="nee"),ROUND(37.5*G223/8,2),0)</f>
        <v/>
      </c>
      <c r="L223" s="9" t="n"/>
      <c r="M223" s="9" t="n"/>
      <c r="N223" s="11" t="n"/>
      <c r="O223" s="11">
        <f>IF(D223="","",IF(COUNTIFS($A$5:$A$404,A223,$D$5:$D$404,D223,$I$5:$I$404,"ja")=4,"compleet",COUNTIFS($A$5:$A$404,A223,$D$5:$D$404,D223,$I$5:$I$404,"ja")&amp;" van 4"))</f>
        <v/>
      </c>
    </row>
    <row r="224">
      <c r="A224" s="11" t="n"/>
      <c r="B224" s="11" t="n"/>
      <c r="C224" s="7" t="n"/>
      <c r="D224" s="11" t="n"/>
      <c r="E224" s="11" t="n"/>
      <c r="F224" s="11" t="n"/>
      <c r="G224" s="12" t="n"/>
      <c r="H224" s="11" t="n"/>
      <c r="I224" s="9" t="n"/>
      <c r="J224" s="9" t="n"/>
      <c r="K224" s="13">
        <f>IF(AND(H224="ja",J224="nee"),ROUND(37.5*G224/8,2),0)</f>
        <v/>
      </c>
      <c r="L224" s="9" t="n"/>
      <c r="M224" s="9" t="n"/>
      <c r="N224" s="11" t="n"/>
      <c r="O224" s="11">
        <f>IF(D224="","",IF(COUNTIFS($A$5:$A$404,A224,$D$5:$D$404,D224,$I$5:$I$404,"ja")=4,"compleet",COUNTIFS($A$5:$A$404,A224,$D$5:$D$404,D224,$I$5:$I$404,"ja")&amp;" van 4"))</f>
        <v/>
      </c>
    </row>
    <row r="225">
      <c r="A225" s="11" t="n"/>
      <c r="B225" s="11" t="n"/>
      <c r="C225" s="7" t="n"/>
      <c r="D225" s="11" t="n"/>
      <c r="E225" s="11" t="n"/>
      <c r="F225" s="11" t="n"/>
      <c r="G225" s="12" t="n"/>
      <c r="H225" s="11" t="n"/>
      <c r="I225" s="9" t="n"/>
      <c r="J225" s="9" t="n"/>
      <c r="K225" s="13">
        <f>IF(AND(H225="ja",J225="nee"),ROUND(37.5*G225/8,2),0)</f>
        <v/>
      </c>
      <c r="L225" s="9" t="n"/>
      <c r="M225" s="9" t="n"/>
      <c r="N225" s="11" t="n"/>
      <c r="O225" s="11">
        <f>IF(D225="","",IF(COUNTIFS($A$5:$A$404,A225,$D$5:$D$404,D225,$I$5:$I$404,"ja")=4,"compleet",COUNTIFS($A$5:$A$404,A225,$D$5:$D$404,D225,$I$5:$I$404,"ja")&amp;" van 4"))</f>
        <v/>
      </c>
    </row>
    <row r="226">
      <c r="A226" s="11" t="n"/>
      <c r="B226" s="11" t="n"/>
      <c r="C226" s="7" t="n"/>
      <c r="D226" s="11" t="n"/>
      <c r="E226" s="11" t="n"/>
      <c r="F226" s="11" t="n"/>
      <c r="G226" s="12" t="n"/>
      <c r="H226" s="11" t="n"/>
      <c r="I226" s="9" t="n"/>
      <c r="J226" s="9" t="n"/>
      <c r="K226" s="13">
        <f>IF(AND(H226="ja",J226="nee"),ROUND(37.5*G226/8,2),0)</f>
        <v/>
      </c>
      <c r="L226" s="9" t="n"/>
      <c r="M226" s="9" t="n"/>
      <c r="N226" s="11" t="n"/>
      <c r="O226" s="11">
        <f>IF(D226="","",IF(COUNTIFS($A$5:$A$404,A226,$D$5:$D$404,D226,$I$5:$I$404,"ja")=4,"compleet",COUNTIFS($A$5:$A$404,A226,$D$5:$D$404,D226,$I$5:$I$404,"ja")&amp;" van 4"))</f>
        <v/>
      </c>
    </row>
    <row r="227">
      <c r="A227" s="11" t="n"/>
      <c r="B227" s="11" t="n"/>
      <c r="C227" s="7" t="n"/>
      <c r="D227" s="11" t="n"/>
      <c r="E227" s="11" t="n"/>
      <c r="F227" s="11" t="n"/>
      <c r="G227" s="12" t="n"/>
      <c r="H227" s="11" t="n"/>
      <c r="I227" s="9" t="n"/>
      <c r="J227" s="9" t="n"/>
      <c r="K227" s="13">
        <f>IF(AND(H227="ja",J227="nee"),ROUND(37.5*G227/8,2),0)</f>
        <v/>
      </c>
      <c r="L227" s="9" t="n"/>
      <c r="M227" s="9" t="n"/>
      <c r="N227" s="11" t="n"/>
      <c r="O227" s="11">
        <f>IF(D227="","",IF(COUNTIFS($A$5:$A$404,A227,$D$5:$D$404,D227,$I$5:$I$404,"ja")=4,"compleet",COUNTIFS($A$5:$A$404,A227,$D$5:$D$404,D227,$I$5:$I$404,"ja")&amp;" van 4"))</f>
        <v/>
      </c>
    </row>
    <row r="228">
      <c r="A228" s="11" t="n"/>
      <c r="B228" s="11" t="n"/>
      <c r="C228" s="7" t="n"/>
      <c r="D228" s="11" t="n"/>
      <c r="E228" s="11" t="n"/>
      <c r="F228" s="11" t="n"/>
      <c r="G228" s="12" t="n"/>
      <c r="H228" s="11" t="n"/>
      <c r="I228" s="9" t="n"/>
      <c r="J228" s="9" t="n"/>
      <c r="K228" s="13">
        <f>IF(AND(H228="ja",J228="nee"),ROUND(37.5*G228/8,2),0)</f>
        <v/>
      </c>
      <c r="L228" s="9" t="n"/>
      <c r="M228" s="9" t="n"/>
      <c r="N228" s="11" t="n"/>
      <c r="O228" s="11">
        <f>IF(D228="","",IF(COUNTIFS($A$5:$A$404,A228,$D$5:$D$404,D228,$I$5:$I$404,"ja")=4,"compleet",COUNTIFS($A$5:$A$404,A228,$D$5:$D$404,D228,$I$5:$I$404,"ja")&amp;" van 4"))</f>
        <v/>
      </c>
    </row>
    <row r="229">
      <c r="A229" s="11" t="n"/>
      <c r="B229" s="11" t="n"/>
      <c r="C229" s="7" t="n"/>
      <c r="D229" s="11" t="n"/>
      <c r="E229" s="11" t="n"/>
      <c r="F229" s="11" t="n"/>
      <c r="G229" s="12" t="n"/>
      <c r="H229" s="11" t="n"/>
      <c r="I229" s="9" t="n"/>
      <c r="J229" s="9" t="n"/>
      <c r="K229" s="13">
        <f>IF(AND(H229="ja",J229="nee"),ROUND(37.5*G229/8,2),0)</f>
        <v/>
      </c>
      <c r="L229" s="9" t="n"/>
      <c r="M229" s="9" t="n"/>
      <c r="N229" s="11" t="n"/>
      <c r="O229" s="11">
        <f>IF(D229="","",IF(COUNTIFS($A$5:$A$404,A229,$D$5:$D$404,D229,$I$5:$I$404,"ja")=4,"compleet",COUNTIFS($A$5:$A$404,A229,$D$5:$D$404,D229,$I$5:$I$404,"ja")&amp;" van 4"))</f>
        <v/>
      </c>
    </row>
    <row r="230">
      <c r="A230" s="11" t="n"/>
      <c r="B230" s="11" t="n"/>
      <c r="C230" s="7" t="n"/>
      <c r="D230" s="11" t="n"/>
      <c r="E230" s="11" t="n"/>
      <c r="F230" s="11" t="n"/>
      <c r="G230" s="12" t="n"/>
      <c r="H230" s="11" t="n"/>
      <c r="I230" s="9" t="n"/>
      <c r="J230" s="9" t="n"/>
      <c r="K230" s="13">
        <f>IF(AND(H230="ja",J230="nee"),ROUND(37.5*G230/8,2),0)</f>
        <v/>
      </c>
      <c r="L230" s="9" t="n"/>
      <c r="M230" s="9" t="n"/>
      <c r="N230" s="11" t="n"/>
      <c r="O230" s="11">
        <f>IF(D230="","",IF(COUNTIFS($A$5:$A$404,A230,$D$5:$D$404,D230,$I$5:$I$404,"ja")=4,"compleet",COUNTIFS($A$5:$A$404,A230,$D$5:$D$404,D230,$I$5:$I$404,"ja")&amp;" van 4"))</f>
        <v/>
      </c>
    </row>
    <row r="231">
      <c r="A231" s="11" t="n"/>
      <c r="B231" s="11" t="n"/>
      <c r="C231" s="7" t="n"/>
      <c r="D231" s="11" t="n"/>
      <c r="E231" s="11" t="n"/>
      <c r="F231" s="11" t="n"/>
      <c r="G231" s="12" t="n"/>
      <c r="H231" s="11" t="n"/>
      <c r="I231" s="9" t="n"/>
      <c r="J231" s="9" t="n"/>
      <c r="K231" s="13">
        <f>IF(AND(H231="ja",J231="nee"),ROUND(37.5*G231/8,2),0)</f>
        <v/>
      </c>
      <c r="L231" s="9" t="n"/>
      <c r="M231" s="9" t="n"/>
      <c r="N231" s="11" t="n"/>
      <c r="O231" s="11">
        <f>IF(D231="","",IF(COUNTIFS($A$5:$A$404,A231,$D$5:$D$404,D231,$I$5:$I$404,"ja")=4,"compleet",COUNTIFS($A$5:$A$404,A231,$D$5:$D$404,D231,$I$5:$I$404,"ja")&amp;" van 4"))</f>
        <v/>
      </c>
    </row>
    <row r="232">
      <c r="A232" s="11" t="n"/>
      <c r="B232" s="11" t="n"/>
      <c r="C232" s="7" t="n"/>
      <c r="D232" s="11" t="n"/>
      <c r="E232" s="11" t="n"/>
      <c r="F232" s="11" t="n"/>
      <c r="G232" s="12" t="n"/>
      <c r="H232" s="11" t="n"/>
      <c r="I232" s="9" t="n"/>
      <c r="J232" s="9" t="n"/>
      <c r="K232" s="13">
        <f>IF(AND(H232="ja",J232="nee"),ROUND(37.5*G232/8,2),0)</f>
        <v/>
      </c>
      <c r="L232" s="9" t="n"/>
      <c r="M232" s="9" t="n"/>
      <c r="N232" s="11" t="n"/>
      <c r="O232" s="11">
        <f>IF(D232="","",IF(COUNTIFS($A$5:$A$404,A232,$D$5:$D$404,D232,$I$5:$I$404,"ja")=4,"compleet",COUNTIFS($A$5:$A$404,A232,$D$5:$D$404,D232,$I$5:$I$404,"ja")&amp;" van 4"))</f>
        <v/>
      </c>
    </row>
    <row r="233">
      <c r="A233" s="11" t="n"/>
      <c r="B233" s="11" t="n"/>
      <c r="C233" s="7" t="n"/>
      <c r="D233" s="11" t="n"/>
      <c r="E233" s="11" t="n"/>
      <c r="F233" s="11" t="n"/>
      <c r="G233" s="12" t="n"/>
      <c r="H233" s="11" t="n"/>
      <c r="I233" s="9" t="n"/>
      <c r="J233" s="9" t="n"/>
      <c r="K233" s="13">
        <f>IF(AND(H233="ja",J233="nee"),ROUND(37.5*G233/8,2),0)</f>
        <v/>
      </c>
      <c r="L233" s="9" t="n"/>
      <c r="M233" s="9" t="n"/>
      <c r="N233" s="11" t="n"/>
      <c r="O233" s="11">
        <f>IF(D233="","",IF(COUNTIFS($A$5:$A$404,A233,$D$5:$D$404,D233,$I$5:$I$404,"ja")=4,"compleet",COUNTIFS($A$5:$A$404,A233,$D$5:$D$404,D233,$I$5:$I$404,"ja")&amp;" van 4"))</f>
        <v/>
      </c>
    </row>
    <row r="234">
      <c r="A234" s="11" t="n"/>
      <c r="B234" s="11" t="n"/>
      <c r="C234" s="7" t="n"/>
      <c r="D234" s="11" t="n"/>
      <c r="E234" s="11" t="n"/>
      <c r="F234" s="11" t="n"/>
      <c r="G234" s="12" t="n"/>
      <c r="H234" s="11" t="n"/>
      <c r="I234" s="9" t="n"/>
      <c r="J234" s="9" t="n"/>
      <c r="K234" s="13">
        <f>IF(AND(H234="ja",J234="nee"),ROUND(37.5*G234/8,2),0)</f>
        <v/>
      </c>
      <c r="L234" s="9" t="n"/>
      <c r="M234" s="9" t="n"/>
      <c r="N234" s="11" t="n"/>
      <c r="O234" s="11">
        <f>IF(D234="","",IF(COUNTIFS($A$5:$A$404,A234,$D$5:$D$404,D234,$I$5:$I$404,"ja")=4,"compleet",COUNTIFS($A$5:$A$404,A234,$D$5:$D$404,D234,$I$5:$I$404,"ja")&amp;" van 4"))</f>
        <v/>
      </c>
    </row>
    <row r="235">
      <c r="A235" s="11" t="n"/>
      <c r="B235" s="11" t="n"/>
      <c r="C235" s="7" t="n"/>
      <c r="D235" s="11" t="n"/>
      <c r="E235" s="11" t="n"/>
      <c r="F235" s="11" t="n"/>
      <c r="G235" s="12" t="n"/>
      <c r="H235" s="11" t="n"/>
      <c r="I235" s="9" t="n"/>
      <c r="J235" s="9" t="n"/>
      <c r="K235" s="13">
        <f>IF(AND(H235="ja",J235="nee"),ROUND(37.5*G235/8,2),0)</f>
        <v/>
      </c>
      <c r="L235" s="9" t="n"/>
      <c r="M235" s="9" t="n"/>
      <c r="N235" s="11" t="n"/>
      <c r="O235" s="11">
        <f>IF(D235="","",IF(COUNTIFS($A$5:$A$404,A235,$D$5:$D$404,D235,$I$5:$I$404,"ja")=4,"compleet",COUNTIFS($A$5:$A$404,A235,$D$5:$D$404,D235,$I$5:$I$404,"ja")&amp;" van 4"))</f>
        <v/>
      </c>
    </row>
    <row r="236">
      <c r="A236" s="11" t="n"/>
      <c r="B236" s="11" t="n"/>
      <c r="C236" s="7" t="n"/>
      <c r="D236" s="11" t="n"/>
      <c r="E236" s="11" t="n"/>
      <c r="F236" s="11" t="n"/>
      <c r="G236" s="12" t="n"/>
      <c r="H236" s="11" t="n"/>
      <c r="I236" s="9" t="n"/>
      <c r="J236" s="9" t="n"/>
      <c r="K236" s="13">
        <f>IF(AND(H236="ja",J236="nee"),ROUND(37.5*G236/8,2),0)</f>
        <v/>
      </c>
      <c r="L236" s="9" t="n"/>
      <c r="M236" s="9" t="n"/>
      <c r="N236" s="11" t="n"/>
      <c r="O236" s="11">
        <f>IF(D236="","",IF(COUNTIFS($A$5:$A$404,A236,$D$5:$D$404,D236,$I$5:$I$404,"ja")=4,"compleet",COUNTIFS($A$5:$A$404,A236,$D$5:$D$404,D236,$I$5:$I$404,"ja")&amp;" van 4"))</f>
        <v/>
      </c>
    </row>
    <row r="237">
      <c r="A237" s="11" t="n"/>
      <c r="B237" s="11" t="n"/>
      <c r="C237" s="7" t="n"/>
      <c r="D237" s="11" t="n"/>
      <c r="E237" s="11" t="n"/>
      <c r="F237" s="11" t="n"/>
      <c r="G237" s="12" t="n"/>
      <c r="H237" s="11" t="n"/>
      <c r="I237" s="9" t="n"/>
      <c r="J237" s="9" t="n"/>
      <c r="K237" s="13">
        <f>IF(AND(H237="ja",J237="nee"),ROUND(37.5*G237/8,2),0)</f>
        <v/>
      </c>
      <c r="L237" s="9" t="n"/>
      <c r="M237" s="9" t="n"/>
      <c r="N237" s="11" t="n"/>
      <c r="O237" s="11">
        <f>IF(D237="","",IF(COUNTIFS($A$5:$A$404,A237,$D$5:$D$404,D237,$I$5:$I$404,"ja")=4,"compleet",COUNTIFS($A$5:$A$404,A237,$D$5:$D$404,D237,$I$5:$I$404,"ja")&amp;" van 4"))</f>
        <v/>
      </c>
    </row>
    <row r="238">
      <c r="A238" s="11" t="n"/>
      <c r="B238" s="11" t="n"/>
      <c r="C238" s="7" t="n"/>
      <c r="D238" s="11" t="n"/>
      <c r="E238" s="11" t="n"/>
      <c r="F238" s="11" t="n"/>
      <c r="G238" s="12" t="n"/>
      <c r="H238" s="11" t="n"/>
      <c r="I238" s="9" t="n"/>
      <c r="J238" s="9" t="n"/>
      <c r="K238" s="13">
        <f>IF(AND(H238="ja",J238="nee"),ROUND(37.5*G238/8,2),0)</f>
        <v/>
      </c>
      <c r="L238" s="9" t="n"/>
      <c r="M238" s="9" t="n"/>
      <c r="N238" s="11" t="n"/>
      <c r="O238" s="11">
        <f>IF(D238="","",IF(COUNTIFS($A$5:$A$404,A238,$D$5:$D$404,D238,$I$5:$I$404,"ja")=4,"compleet",COUNTIFS($A$5:$A$404,A238,$D$5:$D$404,D238,$I$5:$I$404,"ja")&amp;" van 4"))</f>
        <v/>
      </c>
    </row>
    <row r="239">
      <c r="A239" s="11" t="n"/>
      <c r="B239" s="11" t="n"/>
      <c r="C239" s="7" t="n"/>
      <c r="D239" s="11" t="n"/>
      <c r="E239" s="11" t="n"/>
      <c r="F239" s="11" t="n"/>
      <c r="G239" s="12" t="n"/>
      <c r="H239" s="11" t="n"/>
      <c r="I239" s="9" t="n"/>
      <c r="J239" s="9" t="n"/>
      <c r="K239" s="13">
        <f>IF(AND(H239="ja",J239="nee"),ROUND(37.5*G239/8,2),0)</f>
        <v/>
      </c>
      <c r="L239" s="9" t="n"/>
      <c r="M239" s="9" t="n"/>
      <c r="N239" s="11" t="n"/>
      <c r="O239" s="11">
        <f>IF(D239="","",IF(COUNTIFS($A$5:$A$404,A239,$D$5:$D$404,D239,$I$5:$I$404,"ja")=4,"compleet",COUNTIFS($A$5:$A$404,A239,$D$5:$D$404,D239,$I$5:$I$404,"ja")&amp;" van 4"))</f>
        <v/>
      </c>
    </row>
    <row r="240">
      <c r="A240" s="11" t="n"/>
      <c r="B240" s="11" t="n"/>
      <c r="C240" s="7" t="n"/>
      <c r="D240" s="11" t="n"/>
      <c r="E240" s="11" t="n"/>
      <c r="F240" s="11" t="n"/>
      <c r="G240" s="12" t="n"/>
      <c r="H240" s="11" t="n"/>
      <c r="I240" s="9" t="n"/>
      <c r="J240" s="9" t="n"/>
      <c r="K240" s="13">
        <f>IF(AND(H240="ja",J240="nee"),ROUND(37.5*G240/8,2),0)</f>
        <v/>
      </c>
      <c r="L240" s="9" t="n"/>
      <c r="M240" s="9" t="n"/>
      <c r="N240" s="11" t="n"/>
      <c r="O240" s="11">
        <f>IF(D240="","",IF(COUNTIFS($A$5:$A$404,A240,$D$5:$D$404,D240,$I$5:$I$404,"ja")=4,"compleet",COUNTIFS($A$5:$A$404,A240,$D$5:$D$404,D240,$I$5:$I$404,"ja")&amp;" van 4"))</f>
        <v/>
      </c>
    </row>
    <row r="241">
      <c r="A241" s="11" t="n"/>
      <c r="B241" s="11" t="n"/>
      <c r="C241" s="7" t="n"/>
      <c r="D241" s="11" t="n"/>
      <c r="E241" s="11" t="n"/>
      <c r="F241" s="11" t="n"/>
      <c r="G241" s="12" t="n"/>
      <c r="H241" s="11" t="n"/>
      <c r="I241" s="9" t="n"/>
      <c r="J241" s="9" t="n"/>
      <c r="K241" s="13">
        <f>IF(AND(H241="ja",J241="nee"),ROUND(37.5*G241/8,2),0)</f>
        <v/>
      </c>
      <c r="L241" s="9" t="n"/>
      <c r="M241" s="9" t="n"/>
      <c r="N241" s="11" t="n"/>
      <c r="O241" s="11">
        <f>IF(D241="","",IF(COUNTIFS($A$5:$A$404,A241,$D$5:$D$404,D241,$I$5:$I$404,"ja")=4,"compleet",COUNTIFS($A$5:$A$404,A241,$D$5:$D$404,D241,$I$5:$I$404,"ja")&amp;" van 4"))</f>
        <v/>
      </c>
    </row>
    <row r="242">
      <c r="A242" s="11" t="n"/>
      <c r="B242" s="11" t="n"/>
      <c r="C242" s="7" t="n"/>
      <c r="D242" s="11" t="n"/>
      <c r="E242" s="11" t="n"/>
      <c r="F242" s="11" t="n"/>
      <c r="G242" s="12" t="n"/>
      <c r="H242" s="11" t="n"/>
      <c r="I242" s="9" t="n"/>
      <c r="J242" s="9" t="n"/>
      <c r="K242" s="13">
        <f>IF(AND(H242="ja",J242="nee"),ROUND(37.5*G242/8,2),0)</f>
        <v/>
      </c>
      <c r="L242" s="9" t="n"/>
      <c r="M242" s="9" t="n"/>
      <c r="N242" s="11" t="n"/>
      <c r="O242" s="11">
        <f>IF(D242="","",IF(COUNTIFS($A$5:$A$404,A242,$D$5:$D$404,D242,$I$5:$I$404,"ja")=4,"compleet",COUNTIFS($A$5:$A$404,A242,$D$5:$D$404,D242,$I$5:$I$404,"ja")&amp;" van 4"))</f>
        <v/>
      </c>
    </row>
    <row r="243">
      <c r="A243" s="11" t="n"/>
      <c r="B243" s="11" t="n"/>
      <c r="C243" s="7" t="n"/>
      <c r="D243" s="11" t="n"/>
      <c r="E243" s="11" t="n"/>
      <c r="F243" s="11" t="n"/>
      <c r="G243" s="12" t="n"/>
      <c r="H243" s="11" t="n"/>
      <c r="I243" s="9" t="n"/>
      <c r="J243" s="9" t="n"/>
      <c r="K243" s="13">
        <f>IF(AND(H243="ja",J243="nee"),ROUND(37.5*G243/8,2),0)</f>
        <v/>
      </c>
      <c r="L243" s="9" t="n"/>
      <c r="M243" s="9" t="n"/>
      <c r="N243" s="11" t="n"/>
      <c r="O243" s="11">
        <f>IF(D243="","",IF(COUNTIFS($A$5:$A$404,A243,$D$5:$D$404,D243,$I$5:$I$404,"ja")=4,"compleet",COUNTIFS($A$5:$A$404,A243,$D$5:$D$404,D243,$I$5:$I$404,"ja")&amp;" van 4"))</f>
        <v/>
      </c>
    </row>
    <row r="244">
      <c r="A244" s="11" t="n"/>
      <c r="B244" s="11" t="n"/>
      <c r="C244" s="7" t="n"/>
      <c r="D244" s="11" t="n"/>
      <c r="E244" s="11" t="n"/>
      <c r="F244" s="11" t="n"/>
      <c r="G244" s="12" t="n"/>
      <c r="H244" s="11" t="n"/>
      <c r="I244" s="9" t="n"/>
      <c r="J244" s="9" t="n"/>
      <c r="K244" s="13">
        <f>IF(AND(H244="ja",J244="nee"),ROUND(37.5*G244/8,2),0)</f>
        <v/>
      </c>
      <c r="L244" s="9" t="n"/>
      <c r="M244" s="9" t="n"/>
      <c r="N244" s="11" t="n"/>
      <c r="O244" s="11">
        <f>IF(D244="","",IF(COUNTIFS($A$5:$A$404,A244,$D$5:$D$404,D244,$I$5:$I$404,"ja")=4,"compleet",COUNTIFS($A$5:$A$404,A244,$D$5:$D$404,D244,$I$5:$I$404,"ja")&amp;" van 4"))</f>
        <v/>
      </c>
    </row>
    <row r="245">
      <c r="A245" s="11" t="n"/>
      <c r="B245" s="11" t="n"/>
      <c r="C245" s="7" t="n"/>
      <c r="D245" s="11" t="n"/>
      <c r="E245" s="11" t="n"/>
      <c r="F245" s="11" t="n"/>
      <c r="G245" s="12" t="n"/>
      <c r="H245" s="11" t="n"/>
      <c r="I245" s="9" t="n"/>
      <c r="J245" s="9" t="n"/>
      <c r="K245" s="13">
        <f>IF(AND(H245="ja",J245="nee"),ROUND(37.5*G245/8,2),0)</f>
        <v/>
      </c>
      <c r="L245" s="9" t="n"/>
      <c r="M245" s="9" t="n"/>
      <c r="N245" s="11" t="n"/>
      <c r="O245" s="11">
        <f>IF(D245="","",IF(COUNTIFS($A$5:$A$404,A245,$D$5:$D$404,D245,$I$5:$I$404,"ja")=4,"compleet",COUNTIFS($A$5:$A$404,A245,$D$5:$D$404,D245,$I$5:$I$404,"ja")&amp;" van 4"))</f>
        <v/>
      </c>
    </row>
    <row r="246">
      <c r="A246" s="11" t="n"/>
      <c r="B246" s="11" t="n"/>
      <c r="C246" s="7" t="n"/>
      <c r="D246" s="11" t="n"/>
      <c r="E246" s="11" t="n"/>
      <c r="F246" s="11" t="n"/>
      <c r="G246" s="12" t="n"/>
      <c r="H246" s="11" t="n"/>
      <c r="I246" s="9" t="n"/>
      <c r="J246" s="9" t="n"/>
      <c r="K246" s="13">
        <f>IF(AND(H246="ja",J246="nee"),ROUND(37.5*G246/8,2),0)</f>
        <v/>
      </c>
      <c r="L246" s="9" t="n"/>
      <c r="M246" s="9" t="n"/>
      <c r="N246" s="11" t="n"/>
      <c r="O246" s="11">
        <f>IF(D246="","",IF(COUNTIFS($A$5:$A$404,A246,$D$5:$D$404,D246,$I$5:$I$404,"ja")=4,"compleet",COUNTIFS($A$5:$A$404,A246,$D$5:$D$404,D246,$I$5:$I$404,"ja")&amp;" van 4"))</f>
        <v/>
      </c>
    </row>
    <row r="247">
      <c r="A247" s="11" t="n"/>
      <c r="B247" s="11" t="n"/>
      <c r="C247" s="7" t="n"/>
      <c r="D247" s="11" t="n"/>
      <c r="E247" s="11" t="n"/>
      <c r="F247" s="11" t="n"/>
      <c r="G247" s="12" t="n"/>
      <c r="H247" s="11" t="n"/>
      <c r="I247" s="9" t="n"/>
      <c r="J247" s="9" t="n"/>
      <c r="K247" s="13">
        <f>IF(AND(H247="ja",J247="nee"),ROUND(37.5*G247/8,2),0)</f>
        <v/>
      </c>
      <c r="L247" s="9" t="n"/>
      <c r="M247" s="9" t="n"/>
      <c r="N247" s="11" t="n"/>
      <c r="O247" s="11">
        <f>IF(D247="","",IF(COUNTIFS($A$5:$A$404,A247,$D$5:$D$404,D247,$I$5:$I$404,"ja")=4,"compleet",COUNTIFS($A$5:$A$404,A247,$D$5:$D$404,D247,$I$5:$I$404,"ja")&amp;" van 4"))</f>
        <v/>
      </c>
    </row>
    <row r="248">
      <c r="A248" s="11" t="n"/>
      <c r="B248" s="11" t="n"/>
      <c r="C248" s="7" t="n"/>
      <c r="D248" s="11" t="n"/>
      <c r="E248" s="11" t="n"/>
      <c r="F248" s="11" t="n"/>
      <c r="G248" s="12" t="n"/>
      <c r="H248" s="11" t="n"/>
      <c r="I248" s="9" t="n"/>
      <c r="J248" s="9" t="n"/>
      <c r="K248" s="13">
        <f>IF(AND(H248="ja",J248="nee"),ROUND(37.5*G248/8,2),0)</f>
        <v/>
      </c>
      <c r="L248" s="9" t="n"/>
      <c r="M248" s="9" t="n"/>
      <c r="N248" s="11" t="n"/>
      <c r="O248" s="11">
        <f>IF(D248="","",IF(COUNTIFS($A$5:$A$404,A248,$D$5:$D$404,D248,$I$5:$I$404,"ja")=4,"compleet",COUNTIFS($A$5:$A$404,A248,$D$5:$D$404,D248,$I$5:$I$404,"ja")&amp;" van 4"))</f>
        <v/>
      </c>
    </row>
    <row r="249">
      <c r="A249" s="11" t="n"/>
      <c r="B249" s="11" t="n"/>
      <c r="C249" s="7" t="n"/>
      <c r="D249" s="11" t="n"/>
      <c r="E249" s="11" t="n"/>
      <c r="F249" s="11" t="n"/>
      <c r="G249" s="12" t="n"/>
      <c r="H249" s="11" t="n"/>
      <c r="I249" s="9" t="n"/>
      <c r="J249" s="9" t="n"/>
      <c r="K249" s="13">
        <f>IF(AND(H249="ja",J249="nee"),ROUND(37.5*G249/8,2),0)</f>
        <v/>
      </c>
      <c r="L249" s="9" t="n"/>
      <c r="M249" s="9" t="n"/>
      <c r="N249" s="11" t="n"/>
      <c r="O249" s="11">
        <f>IF(D249="","",IF(COUNTIFS($A$5:$A$404,A249,$D$5:$D$404,D249,$I$5:$I$404,"ja")=4,"compleet",COUNTIFS($A$5:$A$404,A249,$D$5:$D$404,D249,$I$5:$I$404,"ja")&amp;" van 4"))</f>
        <v/>
      </c>
    </row>
    <row r="250">
      <c r="A250" s="11" t="n"/>
      <c r="B250" s="11" t="n"/>
      <c r="C250" s="7" t="n"/>
      <c r="D250" s="11" t="n"/>
      <c r="E250" s="11" t="n"/>
      <c r="F250" s="11" t="n"/>
      <c r="G250" s="12" t="n"/>
      <c r="H250" s="11" t="n"/>
      <c r="I250" s="9" t="n"/>
      <c r="J250" s="9" t="n"/>
      <c r="K250" s="13">
        <f>IF(AND(H250="ja",J250="nee"),ROUND(37.5*G250/8,2),0)</f>
        <v/>
      </c>
      <c r="L250" s="9" t="n"/>
      <c r="M250" s="9" t="n"/>
      <c r="N250" s="11" t="n"/>
      <c r="O250" s="11">
        <f>IF(D250="","",IF(COUNTIFS($A$5:$A$404,A250,$D$5:$D$404,D250,$I$5:$I$404,"ja")=4,"compleet",COUNTIFS($A$5:$A$404,A250,$D$5:$D$404,D250,$I$5:$I$404,"ja")&amp;" van 4"))</f>
        <v/>
      </c>
    </row>
    <row r="251">
      <c r="A251" s="11" t="n"/>
      <c r="B251" s="11" t="n"/>
      <c r="C251" s="7" t="n"/>
      <c r="D251" s="11" t="n"/>
      <c r="E251" s="11" t="n"/>
      <c r="F251" s="11" t="n"/>
      <c r="G251" s="12" t="n"/>
      <c r="H251" s="11" t="n"/>
      <c r="I251" s="9" t="n"/>
      <c r="J251" s="9" t="n"/>
      <c r="K251" s="13">
        <f>IF(AND(H251="ja",J251="nee"),ROUND(37.5*G251/8,2),0)</f>
        <v/>
      </c>
      <c r="L251" s="9" t="n"/>
      <c r="M251" s="9" t="n"/>
      <c r="N251" s="11" t="n"/>
      <c r="O251" s="11">
        <f>IF(D251="","",IF(COUNTIFS($A$5:$A$404,A251,$D$5:$D$404,D251,$I$5:$I$404,"ja")=4,"compleet",COUNTIFS($A$5:$A$404,A251,$D$5:$D$404,D251,$I$5:$I$404,"ja")&amp;" van 4"))</f>
        <v/>
      </c>
    </row>
    <row r="252">
      <c r="A252" s="11" t="n"/>
      <c r="B252" s="11" t="n"/>
      <c r="C252" s="7" t="n"/>
      <c r="D252" s="11" t="n"/>
      <c r="E252" s="11" t="n"/>
      <c r="F252" s="11" t="n"/>
      <c r="G252" s="12" t="n"/>
      <c r="H252" s="11" t="n"/>
      <c r="I252" s="9" t="n"/>
      <c r="J252" s="9" t="n"/>
      <c r="K252" s="13">
        <f>IF(AND(H252="ja",J252="nee"),ROUND(37.5*G252/8,2),0)</f>
        <v/>
      </c>
      <c r="L252" s="9" t="n"/>
      <c r="M252" s="9" t="n"/>
      <c r="N252" s="11" t="n"/>
      <c r="O252" s="11">
        <f>IF(D252="","",IF(COUNTIFS($A$5:$A$404,A252,$D$5:$D$404,D252,$I$5:$I$404,"ja")=4,"compleet",COUNTIFS($A$5:$A$404,A252,$D$5:$D$404,D252,$I$5:$I$404,"ja")&amp;" van 4"))</f>
        <v/>
      </c>
    </row>
    <row r="253">
      <c r="A253" s="11" t="n"/>
      <c r="B253" s="11" t="n"/>
      <c r="C253" s="7" t="n"/>
      <c r="D253" s="11" t="n"/>
      <c r="E253" s="11" t="n"/>
      <c r="F253" s="11" t="n"/>
      <c r="G253" s="12" t="n"/>
      <c r="H253" s="11" t="n"/>
      <c r="I253" s="9" t="n"/>
      <c r="J253" s="9" t="n"/>
      <c r="K253" s="13">
        <f>IF(AND(H253="ja",J253="nee"),ROUND(37.5*G253/8,2),0)</f>
        <v/>
      </c>
      <c r="L253" s="9" t="n"/>
      <c r="M253" s="9" t="n"/>
      <c r="N253" s="11" t="n"/>
      <c r="O253" s="11">
        <f>IF(D253="","",IF(COUNTIFS($A$5:$A$404,A253,$D$5:$D$404,D253,$I$5:$I$404,"ja")=4,"compleet",COUNTIFS($A$5:$A$404,A253,$D$5:$D$404,D253,$I$5:$I$404,"ja")&amp;" van 4"))</f>
        <v/>
      </c>
    </row>
    <row r="254">
      <c r="A254" s="11" t="n"/>
      <c r="B254" s="11" t="n"/>
      <c r="C254" s="7" t="n"/>
      <c r="D254" s="11" t="n"/>
      <c r="E254" s="11" t="n"/>
      <c r="F254" s="11" t="n"/>
      <c r="G254" s="12" t="n"/>
      <c r="H254" s="11" t="n"/>
      <c r="I254" s="9" t="n"/>
      <c r="J254" s="9" t="n"/>
      <c r="K254" s="13">
        <f>IF(AND(H254="ja",J254="nee"),ROUND(37.5*G254/8,2),0)</f>
        <v/>
      </c>
      <c r="L254" s="9" t="n"/>
      <c r="M254" s="9" t="n"/>
      <c r="N254" s="11" t="n"/>
      <c r="O254" s="11">
        <f>IF(D254="","",IF(COUNTIFS($A$5:$A$404,A254,$D$5:$D$404,D254,$I$5:$I$404,"ja")=4,"compleet",COUNTIFS($A$5:$A$404,A254,$D$5:$D$404,D254,$I$5:$I$404,"ja")&amp;" van 4"))</f>
        <v/>
      </c>
    </row>
    <row r="255">
      <c r="A255" s="11" t="n"/>
      <c r="B255" s="11" t="n"/>
      <c r="C255" s="7" t="n"/>
      <c r="D255" s="11" t="n"/>
      <c r="E255" s="11" t="n"/>
      <c r="F255" s="11" t="n"/>
      <c r="G255" s="12" t="n"/>
      <c r="H255" s="11" t="n"/>
      <c r="I255" s="9" t="n"/>
      <c r="J255" s="9" t="n"/>
      <c r="K255" s="13">
        <f>IF(AND(H255="ja",J255="nee"),ROUND(37.5*G255/8,2),0)</f>
        <v/>
      </c>
      <c r="L255" s="9" t="n"/>
      <c r="M255" s="9" t="n"/>
      <c r="N255" s="11" t="n"/>
      <c r="O255" s="11">
        <f>IF(D255="","",IF(COUNTIFS($A$5:$A$404,A255,$D$5:$D$404,D255,$I$5:$I$404,"ja")=4,"compleet",COUNTIFS($A$5:$A$404,A255,$D$5:$D$404,D255,$I$5:$I$404,"ja")&amp;" van 4"))</f>
        <v/>
      </c>
    </row>
    <row r="256">
      <c r="A256" s="11" t="n"/>
      <c r="B256" s="11" t="n"/>
      <c r="C256" s="7" t="n"/>
      <c r="D256" s="11" t="n"/>
      <c r="E256" s="11" t="n"/>
      <c r="F256" s="11" t="n"/>
      <c r="G256" s="12" t="n"/>
      <c r="H256" s="11" t="n"/>
      <c r="I256" s="9" t="n"/>
      <c r="J256" s="9" t="n"/>
      <c r="K256" s="13">
        <f>IF(AND(H256="ja",J256="nee"),ROUND(37.5*G256/8,2),0)</f>
        <v/>
      </c>
      <c r="L256" s="9" t="n"/>
      <c r="M256" s="9" t="n"/>
      <c r="N256" s="11" t="n"/>
      <c r="O256" s="11">
        <f>IF(D256="","",IF(COUNTIFS($A$5:$A$404,A256,$D$5:$D$404,D256,$I$5:$I$404,"ja")=4,"compleet",COUNTIFS($A$5:$A$404,A256,$D$5:$D$404,D256,$I$5:$I$404,"ja")&amp;" van 4"))</f>
        <v/>
      </c>
    </row>
    <row r="257">
      <c r="A257" s="11" t="n"/>
      <c r="B257" s="11" t="n"/>
      <c r="C257" s="7" t="n"/>
      <c r="D257" s="11" t="n"/>
      <c r="E257" s="11" t="n"/>
      <c r="F257" s="11" t="n"/>
      <c r="G257" s="12" t="n"/>
      <c r="H257" s="11" t="n"/>
      <c r="I257" s="9" t="n"/>
      <c r="J257" s="9" t="n"/>
      <c r="K257" s="13">
        <f>IF(AND(H257="ja",J257="nee"),ROUND(37.5*G257/8,2),0)</f>
        <v/>
      </c>
      <c r="L257" s="9" t="n"/>
      <c r="M257" s="9" t="n"/>
      <c r="N257" s="11" t="n"/>
      <c r="O257" s="11">
        <f>IF(D257="","",IF(COUNTIFS($A$5:$A$404,A257,$D$5:$D$404,D257,$I$5:$I$404,"ja")=4,"compleet",COUNTIFS($A$5:$A$404,A257,$D$5:$D$404,D257,$I$5:$I$404,"ja")&amp;" van 4"))</f>
        <v/>
      </c>
    </row>
    <row r="258">
      <c r="A258" s="11" t="n"/>
      <c r="B258" s="11" t="n"/>
      <c r="C258" s="7" t="n"/>
      <c r="D258" s="11" t="n"/>
      <c r="E258" s="11" t="n"/>
      <c r="F258" s="11" t="n"/>
      <c r="G258" s="12" t="n"/>
      <c r="H258" s="11" t="n"/>
      <c r="I258" s="9" t="n"/>
      <c r="J258" s="9" t="n"/>
      <c r="K258" s="13">
        <f>IF(AND(H258="ja",J258="nee"),ROUND(37.5*G258/8,2),0)</f>
        <v/>
      </c>
      <c r="L258" s="9" t="n"/>
      <c r="M258" s="9" t="n"/>
      <c r="N258" s="11" t="n"/>
      <c r="O258" s="11">
        <f>IF(D258="","",IF(COUNTIFS($A$5:$A$404,A258,$D$5:$D$404,D258,$I$5:$I$404,"ja")=4,"compleet",COUNTIFS($A$5:$A$404,A258,$D$5:$D$404,D258,$I$5:$I$404,"ja")&amp;" van 4"))</f>
        <v/>
      </c>
    </row>
    <row r="259">
      <c r="A259" s="11" t="n"/>
      <c r="B259" s="11" t="n"/>
      <c r="C259" s="7" t="n"/>
      <c r="D259" s="11" t="n"/>
      <c r="E259" s="11" t="n"/>
      <c r="F259" s="11" t="n"/>
      <c r="G259" s="12" t="n"/>
      <c r="H259" s="11" t="n"/>
      <c r="I259" s="9" t="n"/>
      <c r="J259" s="9" t="n"/>
      <c r="K259" s="13">
        <f>IF(AND(H259="ja",J259="nee"),ROUND(37.5*G259/8,2),0)</f>
        <v/>
      </c>
      <c r="L259" s="9" t="n"/>
      <c r="M259" s="9" t="n"/>
      <c r="N259" s="11" t="n"/>
      <c r="O259" s="11">
        <f>IF(D259="","",IF(COUNTIFS($A$5:$A$404,A259,$D$5:$D$404,D259,$I$5:$I$404,"ja")=4,"compleet",COUNTIFS($A$5:$A$404,A259,$D$5:$D$404,D259,$I$5:$I$404,"ja")&amp;" van 4"))</f>
        <v/>
      </c>
    </row>
    <row r="260">
      <c r="A260" s="11" t="n"/>
      <c r="B260" s="11" t="n"/>
      <c r="C260" s="7" t="n"/>
      <c r="D260" s="11" t="n"/>
      <c r="E260" s="11" t="n"/>
      <c r="F260" s="11" t="n"/>
      <c r="G260" s="12" t="n"/>
      <c r="H260" s="11" t="n"/>
      <c r="I260" s="9" t="n"/>
      <c r="J260" s="9" t="n"/>
      <c r="K260" s="13">
        <f>IF(AND(H260="ja",J260="nee"),ROUND(37.5*G260/8,2),0)</f>
        <v/>
      </c>
      <c r="L260" s="9" t="n"/>
      <c r="M260" s="9" t="n"/>
      <c r="N260" s="11" t="n"/>
      <c r="O260" s="11">
        <f>IF(D260="","",IF(COUNTIFS($A$5:$A$404,A260,$D$5:$D$404,D260,$I$5:$I$404,"ja")=4,"compleet",COUNTIFS($A$5:$A$404,A260,$D$5:$D$404,D260,$I$5:$I$404,"ja")&amp;" van 4"))</f>
        <v/>
      </c>
    </row>
    <row r="261">
      <c r="A261" s="11" t="n"/>
      <c r="B261" s="11" t="n"/>
      <c r="C261" s="7" t="n"/>
      <c r="D261" s="11" t="n"/>
      <c r="E261" s="11" t="n"/>
      <c r="F261" s="11" t="n"/>
      <c r="G261" s="12" t="n"/>
      <c r="H261" s="11" t="n"/>
      <c r="I261" s="9" t="n"/>
      <c r="J261" s="9" t="n"/>
      <c r="K261" s="13">
        <f>IF(AND(H261="ja",J261="nee"),ROUND(37.5*G261/8,2),0)</f>
        <v/>
      </c>
      <c r="L261" s="9" t="n"/>
      <c r="M261" s="9" t="n"/>
      <c r="N261" s="11" t="n"/>
      <c r="O261" s="11">
        <f>IF(D261="","",IF(COUNTIFS($A$5:$A$404,A261,$D$5:$D$404,D261,$I$5:$I$404,"ja")=4,"compleet",COUNTIFS($A$5:$A$404,A261,$D$5:$D$404,D261,$I$5:$I$404,"ja")&amp;" van 4"))</f>
        <v/>
      </c>
    </row>
    <row r="262">
      <c r="A262" s="11" t="n"/>
      <c r="B262" s="11" t="n"/>
      <c r="C262" s="7" t="n"/>
      <c r="D262" s="11" t="n"/>
      <c r="E262" s="11" t="n"/>
      <c r="F262" s="11" t="n"/>
      <c r="G262" s="12" t="n"/>
      <c r="H262" s="11" t="n"/>
      <c r="I262" s="9" t="n"/>
      <c r="J262" s="9" t="n"/>
      <c r="K262" s="13">
        <f>IF(AND(H262="ja",J262="nee"),ROUND(37.5*G262/8,2),0)</f>
        <v/>
      </c>
      <c r="L262" s="9" t="n"/>
      <c r="M262" s="9" t="n"/>
      <c r="N262" s="11" t="n"/>
      <c r="O262" s="11">
        <f>IF(D262="","",IF(COUNTIFS($A$5:$A$404,A262,$D$5:$D$404,D262,$I$5:$I$404,"ja")=4,"compleet",COUNTIFS($A$5:$A$404,A262,$D$5:$D$404,D262,$I$5:$I$404,"ja")&amp;" van 4"))</f>
        <v/>
      </c>
    </row>
    <row r="263">
      <c r="A263" s="11" t="n"/>
      <c r="B263" s="11" t="n"/>
      <c r="C263" s="7" t="n"/>
      <c r="D263" s="11" t="n"/>
      <c r="E263" s="11" t="n"/>
      <c r="F263" s="11" t="n"/>
      <c r="G263" s="12" t="n"/>
      <c r="H263" s="11" t="n"/>
      <c r="I263" s="9" t="n"/>
      <c r="J263" s="9" t="n"/>
      <c r="K263" s="13">
        <f>IF(AND(H263="ja",J263="nee"),ROUND(37.5*G263/8,2),0)</f>
        <v/>
      </c>
      <c r="L263" s="9" t="n"/>
      <c r="M263" s="9" t="n"/>
      <c r="N263" s="11" t="n"/>
      <c r="O263" s="11">
        <f>IF(D263="","",IF(COUNTIFS($A$5:$A$404,A263,$D$5:$D$404,D263,$I$5:$I$404,"ja")=4,"compleet",COUNTIFS($A$5:$A$404,A263,$D$5:$D$404,D263,$I$5:$I$404,"ja")&amp;" van 4"))</f>
        <v/>
      </c>
    </row>
    <row r="264">
      <c r="A264" s="11" t="n"/>
      <c r="B264" s="11" t="n"/>
      <c r="C264" s="7" t="n"/>
      <c r="D264" s="11" t="n"/>
      <c r="E264" s="11" t="n"/>
      <c r="F264" s="11" t="n"/>
      <c r="G264" s="12" t="n"/>
      <c r="H264" s="11" t="n"/>
      <c r="I264" s="9" t="n"/>
      <c r="J264" s="9" t="n"/>
      <c r="K264" s="13">
        <f>IF(AND(H264="ja",J264="nee"),ROUND(37.5*G264/8,2),0)</f>
        <v/>
      </c>
      <c r="L264" s="9" t="n"/>
      <c r="M264" s="9" t="n"/>
      <c r="N264" s="11" t="n"/>
      <c r="O264" s="11">
        <f>IF(D264="","",IF(COUNTIFS($A$5:$A$404,A264,$D$5:$D$404,D264,$I$5:$I$404,"ja")=4,"compleet",COUNTIFS($A$5:$A$404,A264,$D$5:$D$404,D264,$I$5:$I$404,"ja")&amp;" van 4"))</f>
        <v/>
      </c>
    </row>
    <row r="265">
      <c r="A265" s="11" t="n"/>
      <c r="B265" s="11" t="n"/>
      <c r="C265" s="7" t="n"/>
      <c r="D265" s="11" t="n"/>
      <c r="E265" s="11" t="n"/>
      <c r="F265" s="11" t="n"/>
      <c r="G265" s="12" t="n"/>
      <c r="H265" s="11" t="n"/>
      <c r="I265" s="9" t="n"/>
      <c r="J265" s="9" t="n"/>
      <c r="K265" s="13">
        <f>IF(AND(H265="ja",J265="nee"),ROUND(37.5*G265/8,2),0)</f>
        <v/>
      </c>
      <c r="L265" s="9" t="n"/>
      <c r="M265" s="9" t="n"/>
      <c r="N265" s="11" t="n"/>
      <c r="O265" s="11">
        <f>IF(D265="","",IF(COUNTIFS($A$5:$A$404,A265,$D$5:$D$404,D265,$I$5:$I$404,"ja")=4,"compleet",COUNTIFS($A$5:$A$404,A265,$D$5:$D$404,D265,$I$5:$I$404,"ja")&amp;" van 4"))</f>
        <v/>
      </c>
    </row>
    <row r="266">
      <c r="A266" s="11" t="n"/>
      <c r="B266" s="11" t="n"/>
      <c r="C266" s="7" t="n"/>
      <c r="D266" s="11" t="n"/>
      <c r="E266" s="11" t="n"/>
      <c r="F266" s="11" t="n"/>
      <c r="G266" s="12" t="n"/>
      <c r="H266" s="11" t="n"/>
      <c r="I266" s="9" t="n"/>
      <c r="J266" s="9" t="n"/>
      <c r="K266" s="13">
        <f>IF(AND(H266="ja",J266="nee"),ROUND(37.5*G266/8,2),0)</f>
        <v/>
      </c>
      <c r="L266" s="9" t="n"/>
      <c r="M266" s="9" t="n"/>
      <c r="N266" s="11" t="n"/>
      <c r="O266" s="11">
        <f>IF(D266="","",IF(COUNTIFS($A$5:$A$404,A266,$D$5:$D$404,D266,$I$5:$I$404,"ja")=4,"compleet",COUNTIFS($A$5:$A$404,A266,$D$5:$D$404,D266,$I$5:$I$404,"ja")&amp;" van 4"))</f>
        <v/>
      </c>
    </row>
    <row r="267">
      <c r="A267" s="11" t="n"/>
      <c r="B267" s="11" t="n"/>
      <c r="C267" s="7" t="n"/>
      <c r="D267" s="11" t="n"/>
      <c r="E267" s="11" t="n"/>
      <c r="F267" s="11" t="n"/>
      <c r="G267" s="12" t="n"/>
      <c r="H267" s="11" t="n"/>
      <c r="I267" s="9" t="n"/>
      <c r="J267" s="9" t="n"/>
      <c r="K267" s="13">
        <f>IF(AND(H267="ja",J267="nee"),ROUND(37.5*G267/8,2),0)</f>
        <v/>
      </c>
      <c r="L267" s="9" t="n"/>
      <c r="M267" s="9" t="n"/>
      <c r="N267" s="11" t="n"/>
      <c r="O267" s="11">
        <f>IF(D267="","",IF(COUNTIFS($A$5:$A$404,A267,$D$5:$D$404,D267,$I$5:$I$404,"ja")=4,"compleet",COUNTIFS($A$5:$A$404,A267,$D$5:$D$404,D267,$I$5:$I$404,"ja")&amp;" van 4"))</f>
        <v/>
      </c>
    </row>
    <row r="268">
      <c r="A268" s="11" t="n"/>
      <c r="B268" s="11" t="n"/>
      <c r="C268" s="7" t="n"/>
      <c r="D268" s="11" t="n"/>
      <c r="E268" s="11" t="n"/>
      <c r="F268" s="11" t="n"/>
      <c r="G268" s="12" t="n"/>
      <c r="H268" s="11" t="n"/>
      <c r="I268" s="9" t="n"/>
      <c r="J268" s="9" t="n"/>
      <c r="K268" s="13">
        <f>IF(AND(H268="ja",J268="nee"),ROUND(37.5*G268/8,2),0)</f>
        <v/>
      </c>
      <c r="L268" s="9" t="n"/>
      <c r="M268" s="9" t="n"/>
      <c r="N268" s="11" t="n"/>
      <c r="O268" s="11">
        <f>IF(D268="","",IF(COUNTIFS($A$5:$A$404,A268,$D$5:$D$404,D268,$I$5:$I$404,"ja")=4,"compleet",COUNTIFS($A$5:$A$404,A268,$D$5:$D$404,D268,$I$5:$I$404,"ja")&amp;" van 4"))</f>
        <v/>
      </c>
    </row>
    <row r="269">
      <c r="A269" s="11" t="n"/>
      <c r="B269" s="11" t="n"/>
      <c r="C269" s="7" t="n"/>
      <c r="D269" s="11" t="n"/>
      <c r="E269" s="11" t="n"/>
      <c r="F269" s="11" t="n"/>
      <c r="G269" s="12" t="n"/>
      <c r="H269" s="11" t="n"/>
      <c r="I269" s="9" t="n"/>
      <c r="J269" s="9" t="n"/>
      <c r="K269" s="13">
        <f>IF(AND(H269="ja",J269="nee"),ROUND(37.5*G269/8,2),0)</f>
        <v/>
      </c>
      <c r="L269" s="9" t="n"/>
      <c r="M269" s="9" t="n"/>
      <c r="N269" s="11" t="n"/>
      <c r="O269" s="11">
        <f>IF(D269="","",IF(COUNTIFS($A$5:$A$404,A269,$D$5:$D$404,D269,$I$5:$I$404,"ja")=4,"compleet",COUNTIFS($A$5:$A$404,A269,$D$5:$D$404,D269,$I$5:$I$404,"ja")&amp;" van 4"))</f>
        <v/>
      </c>
    </row>
    <row r="270">
      <c r="A270" s="11" t="n"/>
      <c r="B270" s="11" t="n"/>
      <c r="C270" s="7" t="n"/>
      <c r="D270" s="11" t="n"/>
      <c r="E270" s="11" t="n"/>
      <c r="F270" s="11" t="n"/>
      <c r="G270" s="12" t="n"/>
      <c r="H270" s="11" t="n"/>
      <c r="I270" s="9" t="n"/>
      <c r="J270" s="9" t="n"/>
      <c r="K270" s="13">
        <f>IF(AND(H270="ja",J270="nee"),ROUND(37.5*G270/8,2),0)</f>
        <v/>
      </c>
      <c r="L270" s="9" t="n"/>
      <c r="M270" s="9" t="n"/>
      <c r="N270" s="11" t="n"/>
      <c r="O270" s="11">
        <f>IF(D270="","",IF(COUNTIFS($A$5:$A$404,A270,$D$5:$D$404,D270,$I$5:$I$404,"ja")=4,"compleet",COUNTIFS($A$5:$A$404,A270,$D$5:$D$404,D270,$I$5:$I$404,"ja")&amp;" van 4"))</f>
        <v/>
      </c>
    </row>
    <row r="271">
      <c r="A271" s="11" t="n"/>
      <c r="B271" s="11" t="n"/>
      <c r="C271" s="7" t="n"/>
      <c r="D271" s="11" t="n"/>
      <c r="E271" s="11" t="n"/>
      <c r="F271" s="11" t="n"/>
      <c r="G271" s="12" t="n"/>
      <c r="H271" s="11" t="n"/>
      <c r="I271" s="9" t="n"/>
      <c r="J271" s="9" t="n"/>
      <c r="K271" s="13">
        <f>IF(AND(H271="ja",J271="nee"),ROUND(37.5*G271/8,2),0)</f>
        <v/>
      </c>
      <c r="L271" s="9" t="n"/>
      <c r="M271" s="9" t="n"/>
      <c r="N271" s="11" t="n"/>
      <c r="O271" s="11">
        <f>IF(D271="","",IF(COUNTIFS($A$5:$A$404,A271,$D$5:$D$404,D271,$I$5:$I$404,"ja")=4,"compleet",COUNTIFS($A$5:$A$404,A271,$D$5:$D$404,D271,$I$5:$I$404,"ja")&amp;" van 4"))</f>
        <v/>
      </c>
    </row>
    <row r="272">
      <c r="A272" s="11" t="n"/>
      <c r="B272" s="11" t="n"/>
      <c r="C272" s="7" t="n"/>
      <c r="D272" s="11" t="n"/>
      <c r="E272" s="11" t="n"/>
      <c r="F272" s="11" t="n"/>
      <c r="G272" s="12" t="n"/>
      <c r="H272" s="11" t="n"/>
      <c r="I272" s="9" t="n"/>
      <c r="J272" s="9" t="n"/>
      <c r="K272" s="13">
        <f>IF(AND(H272="ja",J272="nee"),ROUND(37.5*G272/8,2),0)</f>
        <v/>
      </c>
      <c r="L272" s="9" t="n"/>
      <c r="M272" s="9" t="n"/>
      <c r="N272" s="11" t="n"/>
      <c r="O272" s="11">
        <f>IF(D272="","",IF(COUNTIFS($A$5:$A$404,A272,$D$5:$D$404,D272,$I$5:$I$404,"ja")=4,"compleet",COUNTIFS($A$5:$A$404,A272,$D$5:$D$404,D272,$I$5:$I$404,"ja")&amp;" van 4"))</f>
        <v/>
      </c>
    </row>
    <row r="273">
      <c r="A273" s="11" t="n"/>
      <c r="B273" s="11" t="n"/>
      <c r="C273" s="7" t="n"/>
      <c r="D273" s="11" t="n"/>
      <c r="E273" s="11" t="n"/>
      <c r="F273" s="11" t="n"/>
      <c r="G273" s="12" t="n"/>
      <c r="H273" s="11" t="n"/>
      <c r="I273" s="9" t="n"/>
      <c r="J273" s="9" t="n"/>
      <c r="K273" s="13">
        <f>IF(AND(H273="ja",J273="nee"),ROUND(37.5*G273/8,2),0)</f>
        <v/>
      </c>
      <c r="L273" s="9" t="n"/>
      <c r="M273" s="9" t="n"/>
      <c r="N273" s="11" t="n"/>
      <c r="O273" s="11">
        <f>IF(D273="","",IF(COUNTIFS($A$5:$A$404,A273,$D$5:$D$404,D273,$I$5:$I$404,"ja")=4,"compleet",COUNTIFS($A$5:$A$404,A273,$D$5:$D$404,D273,$I$5:$I$404,"ja")&amp;" van 4"))</f>
        <v/>
      </c>
    </row>
    <row r="274">
      <c r="A274" s="11" t="n"/>
      <c r="B274" s="11" t="n"/>
      <c r="C274" s="7" t="n"/>
      <c r="D274" s="11" t="n"/>
      <c r="E274" s="11" t="n"/>
      <c r="F274" s="11" t="n"/>
      <c r="G274" s="12" t="n"/>
      <c r="H274" s="11" t="n"/>
      <c r="I274" s="9" t="n"/>
      <c r="J274" s="9" t="n"/>
      <c r="K274" s="13">
        <f>IF(AND(H274="ja",J274="nee"),ROUND(37.5*G274/8,2),0)</f>
        <v/>
      </c>
      <c r="L274" s="9" t="n"/>
      <c r="M274" s="9" t="n"/>
      <c r="N274" s="11" t="n"/>
      <c r="O274" s="11">
        <f>IF(D274="","",IF(COUNTIFS($A$5:$A$404,A274,$D$5:$D$404,D274,$I$5:$I$404,"ja")=4,"compleet",COUNTIFS($A$5:$A$404,A274,$D$5:$D$404,D274,$I$5:$I$404,"ja")&amp;" van 4"))</f>
        <v/>
      </c>
    </row>
    <row r="275">
      <c r="A275" s="11" t="n"/>
      <c r="B275" s="11" t="n"/>
      <c r="C275" s="7" t="n"/>
      <c r="D275" s="11" t="n"/>
      <c r="E275" s="11" t="n"/>
      <c r="F275" s="11" t="n"/>
      <c r="G275" s="12" t="n"/>
      <c r="H275" s="11" t="n"/>
      <c r="I275" s="9" t="n"/>
      <c r="J275" s="9" t="n"/>
      <c r="K275" s="13">
        <f>IF(AND(H275="ja",J275="nee"),ROUND(37.5*G275/8,2),0)</f>
        <v/>
      </c>
      <c r="L275" s="9" t="n"/>
      <c r="M275" s="9" t="n"/>
      <c r="N275" s="11" t="n"/>
      <c r="O275" s="11">
        <f>IF(D275="","",IF(COUNTIFS($A$5:$A$404,A275,$D$5:$D$404,D275,$I$5:$I$404,"ja")=4,"compleet",COUNTIFS($A$5:$A$404,A275,$D$5:$D$404,D275,$I$5:$I$404,"ja")&amp;" van 4"))</f>
        <v/>
      </c>
    </row>
    <row r="276">
      <c r="A276" s="11" t="n"/>
      <c r="B276" s="11" t="n"/>
      <c r="C276" s="7" t="n"/>
      <c r="D276" s="11" t="n"/>
      <c r="E276" s="11" t="n"/>
      <c r="F276" s="11" t="n"/>
      <c r="G276" s="12" t="n"/>
      <c r="H276" s="11" t="n"/>
      <c r="I276" s="9" t="n"/>
      <c r="J276" s="9" t="n"/>
      <c r="K276" s="13">
        <f>IF(AND(H276="ja",J276="nee"),ROUND(37.5*G276/8,2),0)</f>
        <v/>
      </c>
      <c r="L276" s="9" t="n"/>
      <c r="M276" s="9" t="n"/>
      <c r="N276" s="11" t="n"/>
      <c r="O276" s="11">
        <f>IF(D276="","",IF(COUNTIFS($A$5:$A$404,A276,$D$5:$D$404,D276,$I$5:$I$404,"ja")=4,"compleet",COUNTIFS($A$5:$A$404,A276,$D$5:$D$404,D276,$I$5:$I$404,"ja")&amp;" van 4"))</f>
        <v/>
      </c>
    </row>
    <row r="277">
      <c r="A277" s="11" t="n"/>
      <c r="B277" s="11" t="n"/>
      <c r="C277" s="7" t="n"/>
      <c r="D277" s="11" t="n"/>
      <c r="E277" s="11" t="n"/>
      <c r="F277" s="11" t="n"/>
      <c r="G277" s="12" t="n"/>
      <c r="H277" s="11" t="n"/>
      <c r="I277" s="9" t="n"/>
      <c r="J277" s="9" t="n"/>
      <c r="K277" s="13">
        <f>IF(AND(H277="ja",J277="nee"),ROUND(37.5*G277/8,2),0)</f>
        <v/>
      </c>
      <c r="L277" s="9" t="n"/>
      <c r="M277" s="9" t="n"/>
      <c r="N277" s="11" t="n"/>
      <c r="O277" s="11">
        <f>IF(D277="","",IF(COUNTIFS($A$5:$A$404,A277,$D$5:$D$404,D277,$I$5:$I$404,"ja")=4,"compleet",COUNTIFS($A$5:$A$404,A277,$D$5:$D$404,D277,$I$5:$I$404,"ja")&amp;" van 4"))</f>
        <v/>
      </c>
    </row>
    <row r="278">
      <c r="A278" s="11" t="n"/>
      <c r="B278" s="11" t="n"/>
      <c r="C278" s="7" t="n"/>
      <c r="D278" s="11" t="n"/>
      <c r="E278" s="11" t="n"/>
      <c r="F278" s="11" t="n"/>
      <c r="G278" s="12" t="n"/>
      <c r="H278" s="11" t="n"/>
      <c r="I278" s="9" t="n"/>
      <c r="J278" s="9" t="n"/>
      <c r="K278" s="13">
        <f>IF(AND(H278="ja",J278="nee"),ROUND(37.5*G278/8,2),0)</f>
        <v/>
      </c>
      <c r="L278" s="9" t="n"/>
      <c r="M278" s="9" t="n"/>
      <c r="N278" s="11" t="n"/>
      <c r="O278" s="11">
        <f>IF(D278="","",IF(COUNTIFS($A$5:$A$404,A278,$D$5:$D$404,D278,$I$5:$I$404,"ja")=4,"compleet",COUNTIFS($A$5:$A$404,A278,$D$5:$D$404,D278,$I$5:$I$404,"ja")&amp;" van 4"))</f>
        <v/>
      </c>
    </row>
    <row r="279">
      <c r="A279" s="11" t="n"/>
      <c r="B279" s="11" t="n"/>
      <c r="C279" s="7" t="n"/>
      <c r="D279" s="11" t="n"/>
      <c r="E279" s="11" t="n"/>
      <c r="F279" s="11" t="n"/>
      <c r="G279" s="12" t="n"/>
      <c r="H279" s="11" t="n"/>
      <c r="I279" s="9" t="n"/>
      <c r="J279" s="9" t="n"/>
      <c r="K279" s="13">
        <f>IF(AND(H279="ja",J279="nee"),ROUND(37.5*G279/8,2),0)</f>
        <v/>
      </c>
      <c r="L279" s="9" t="n"/>
      <c r="M279" s="9" t="n"/>
      <c r="N279" s="11" t="n"/>
      <c r="O279" s="11">
        <f>IF(D279="","",IF(COUNTIFS($A$5:$A$404,A279,$D$5:$D$404,D279,$I$5:$I$404,"ja")=4,"compleet",COUNTIFS($A$5:$A$404,A279,$D$5:$D$404,D279,$I$5:$I$404,"ja")&amp;" van 4"))</f>
        <v/>
      </c>
    </row>
    <row r="280">
      <c r="A280" s="11" t="n"/>
      <c r="B280" s="11" t="n"/>
      <c r="C280" s="7" t="n"/>
      <c r="D280" s="11" t="n"/>
      <c r="E280" s="11" t="n"/>
      <c r="F280" s="11" t="n"/>
      <c r="G280" s="12" t="n"/>
      <c r="H280" s="11" t="n"/>
      <c r="I280" s="9" t="n"/>
      <c r="J280" s="9" t="n"/>
      <c r="K280" s="13">
        <f>IF(AND(H280="ja",J280="nee"),ROUND(37.5*G280/8,2),0)</f>
        <v/>
      </c>
      <c r="L280" s="9" t="n"/>
      <c r="M280" s="9" t="n"/>
      <c r="N280" s="11" t="n"/>
      <c r="O280" s="11">
        <f>IF(D280="","",IF(COUNTIFS($A$5:$A$404,A280,$D$5:$D$404,D280,$I$5:$I$404,"ja")=4,"compleet",COUNTIFS($A$5:$A$404,A280,$D$5:$D$404,D280,$I$5:$I$404,"ja")&amp;" van 4"))</f>
        <v/>
      </c>
    </row>
    <row r="281">
      <c r="A281" s="11" t="n"/>
      <c r="B281" s="11" t="n"/>
      <c r="C281" s="7" t="n"/>
      <c r="D281" s="11" t="n"/>
      <c r="E281" s="11" t="n"/>
      <c r="F281" s="11" t="n"/>
      <c r="G281" s="12" t="n"/>
      <c r="H281" s="11" t="n"/>
      <c r="I281" s="9" t="n"/>
      <c r="J281" s="9" t="n"/>
      <c r="K281" s="13">
        <f>IF(AND(H281="ja",J281="nee"),ROUND(37.5*G281/8,2),0)</f>
        <v/>
      </c>
      <c r="L281" s="9" t="n"/>
      <c r="M281" s="9" t="n"/>
      <c r="N281" s="11" t="n"/>
      <c r="O281" s="11">
        <f>IF(D281="","",IF(COUNTIFS($A$5:$A$404,A281,$D$5:$D$404,D281,$I$5:$I$404,"ja")=4,"compleet",COUNTIFS($A$5:$A$404,A281,$D$5:$D$404,D281,$I$5:$I$404,"ja")&amp;" van 4"))</f>
        <v/>
      </c>
    </row>
    <row r="282">
      <c r="A282" s="11" t="n"/>
      <c r="B282" s="11" t="n"/>
      <c r="C282" s="7" t="n"/>
      <c r="D282" s="11" t="n"/>
      <c r="E282" s="11" t="n"/>
      <c r="F282" s="11" t="n"/>
      <c r="G282" s="12" t="n"/>
      <c r="H282" s="11" t="n"/>
      <c r="I282" s="9" t="n"/>
      <c r="J282" s="9" t="n"/>
      <c r="K282" s="13">
        <f>IF(AND(H282="ja",J282="nee"),ROUND(37.5*G282/8,2),0)</f>
        <v/>
      </c>
      <c r="L282" s="9" t="n"/>
      <c r="M282" s="9" t="n"/>
      <c r="N282" s="11" t="n"/>
      <c r="O282" s="11">
        <f>IF(D282="","",IF(COUNTIFS($A$5:$A$404,A282,$D$5:$D$404,D282,$I$5:$I$404,"ja")=4,"compleet",COUNTIFS($A$5:$A$404,A282,$D$5:$D$404,D282,$I$5:$I$404,"ja")&amp;" van 4"))</f>
        <v/>
      </c>
    </row>
    <row r="283">
      <c r="A283" s="11" t="n"/>
      <c r="B283" s="11" t="n"/>
      <c r="C283" s="7" t="n"/>
      <c r="D283" s="11" t="n"/>
      <c r="E283" s="11" t="n"/>
      <c r="F283" s="11" t="n"/>
      <c r="G283" s="12" t="n"/>
      <c r="H283" s="11" t="n"/>
      <c r="I283" s="9" t="n"/>
      <c r="J283" s="9" t="n"/>
      <c r="K283" s="13">
        <f>IF(AND(H283="ja",J283="nee"),ROUND(37.5*G283/8,2),0)</f>
        <v/>
      </c>
      <c r="L283" s="9" t="n"/>
      <c r="M283" s="9" t="n"/>
      <c r="N283" s="11" t="n"/>
      <c r="O283" s="11">
        <f>IF(D283="","",IF(COUNTIFS($A$5:$A$404,A283,$D$5:$D$404,D283,$I$5:$I$404,"ja")=4,"compleet",COUNTIFS($A$5:$A$404,A283,$D$5:$D$404,D283,$I$5:$I$404,"ja")&amp;" van 4"))</f>
        <v/>
      </c>
    </row>
    <row r="284">
      <c r="A284" s="11" t="n"/>
      <c r="B284" s="11" t="n"/>
      <c r="C284" s="7" t="n"/>
      <c r="D284" s="11" t="n"/>
      <c r="E284" s="11" t="n"/>
      <c r="F284" s="11" t="n"/>
      <c r="G284" s="12" t="n"/>
      <c r="H284" s="11" t="n"/>
      <c r="I284" s="9" t="n"/>
      <c r="J284" s="9" t="n"/>
      <c r="K284" s="13">
        <f>IF(AND(H284="ja",J284="nee"),ROUND(37.5*G284/8,2),0)</f>
        <v/>
      </c>
      <c r="L284" s="9" t="n"/>
      <c r="M284" s="9" t="n"/>
      <c r="N284" s="11" t="n"/>
      <c r="O284" s="11">
        <f>IF(D284="","",IF(COUNTIFS($A$5:$A$404,A284,$D$5:$D$404,D284,$I$5:$I$404,"ja")=4,"compleet",COUNTIFS($A$5:$A$404,A284,$D$5:$D$404,D284,$I$5:$I$404,"ja")&amp;" van 4"))</f>
        <v/>
      </c>
    </row>
    <row r="285">
      <c r="A285" s="11" t="n"/>
      <c r="B285" s="11" t="n"/>
      <c r="C285" s="7" t="n"/>
      <c r="D285" s="11" t="n"/>
      <c r="E285" s="11" t="n"/>
      <c r="F285" s="11" t="n"/>
      <c r="G285" s="12" t="n"/>
      <c r="H285" s="11" t="n"/>
      <c r="I285" s="9" t="n"/>
      <c r="J285" s="9" t="n"/>
      <c r="K285" s="13">
        <f>IF(AND(H285="ja",J285="nee"),ROUND(37.5*G285/8,2),0)</f>
        <v/>
      </c>
      <c r="L285" s="9" t="n"/>
      <c r="M285" s="9" t="n"/>
      <c r="N285" s="11" t="n"/>
      <c r="O285" s="11">
        <f>IF(D285="","",IF(COUNTIFS($A$5:$A$404,A285,$D$5:$D$404,D285,$I$5:$I$404,"ja")=4,"compleet",COUNTIFS($A$5:$A$404,A285,$D$5:$D$404,D285,$I$5:$I$404,"ja")&amp;" van 4"))</f>
        <v/>
      </c>
    </row>
    <row r="286">
      <c r="A286" s="11" t="n"/>
      <c r="B286" s="11" t="n"/>
      <c r="C286" s="7" t="n"/>
      <c r="D286" s="11" t="n"/>
      <c r="E286" s="11" t="n"/>
      <c r="F286" s="11" t="n"/>
      <c r="G286" s="12" t="n"/>
      <c r="H286" s="11" t="n"/>
      <c r="I286" s="9" t="n"/>
      <c r="J286" s="9" t="n"/>
      <c r="K286" s="13">
        <f>IF(AND(H286="ja",J286="nee"),ROUND(37.5*G286/8,2),0)</f>
        <v/>
      </c>
      <c r="L286" s="9" t="n"/>
      <c r="M286" s="9" t="n"/>
      <c r="N286" s="11" t="n"/>
      <c r="O286" s="11">
        <f>IF(D286="","",IF(COUNTIFS($A$5:$A$404,A286,$D$5:$D$404,D286,$I$5:$I$404,"ja")=4,"compleet",COUNTIFS($A$5:$A$404,A286,$D$5:$D$404,D286,$I$5:$I$404,"ja")&amp;" van 4"))</f>
        <v/>
      </c>
    </row>
    <row r="287">
      <c r="A287" s="11" t="n"/>
      <c r="B287" s="11" t="n"/>
      <c r="C287" s="7" t="n"/>
      <c r="D287" s="11" t="n"/>
      <c r="E287" s="11" t="n"/>
      <c r="F287" s="11" t="n"/>
      <c r="G287" s="12" t="n"/>
      <c r="H287" s="11" t="n"/>
      <c r="I287" s="9" t="n"/>
      <c r="J287" s="9" t="n"/>
      <c r="K287" s="13">
        <f>IF(AND(H287="ja",J287="nee"),ROUND(37.5*G287/8,2),0)</f>
        <v/>
      </c>
      <c r="L287" s="9" t="n"/>
      <c r="M287" s="9" t="n"/>
      <c r="N287" s="11" t="n"/>
      <c r="O287" s="11">
        <f>IF(D287="","",IF(COUNTIFS($A$5:$A$404,A287,$D$5:$D$404,D287,$I$5:$I$404,"ja")=4,"compleet",COUNTIFS($A$5:$A$404,A287,$D$5:$D$404,D287,$I$5:$I$404,"ja")&amp;" van 4"))</f>
        <v/>
      </c>
    </row>
    <row r="288">
      <c r="A288" s="11" t="n"/>
      <c r="B288" s="11" t="n"/>
      <c r="C288" s="7" t="n"/>
      <c r="D288" s="11" t="n"/>
      <c r="E288" s="11" t="n"/>
      <c r="F288" s="11" t="n"/>
      <c r="G288" s="12" t="n"/>
      <c r="H288" s="11" t="n"/>
      <c r="I288" s="9" t="n"/>
      <c r="J288" s="9" t="n"/>
      <c r="K288" s="13">
        <f>IF(AND(H288="ja",J288="nee"),ROUND(37.5*G288/8,2),0)</f>
        <v/>
      </c>
      <c r="L288" s="9" t="n"/>
      <c r="M288" s="9" t="n"/>
      <c r="N288" s="11" t="n"/>
      <c r="O288" s="11">
        <f>IF(D288="","",IF(COUNTIFS($A$5:$A$404,A288,$D$5:$D$404,D288,$I$5:$I$404,"ja")=4,"compleet",COUNTIFS($A$5:$A$404,A288,$D$5:$D$404,D288,$I$5:$I$404,"ja")&amp;" van 4"))</f>
        <v/>
      </c>
    </row>
    <row r="289">
      <c r="A289" s="11" t="n"/>
      <c r="B289" s="11" t="n"/>
      <c r="C289" s="7" t="n"/>
      <c r="D289" s="11" t="n"/>
      <c r="E289" s="11" t="n"/>
      <c r="F289" s="11" t="n"/>
      <c r="G289" s="12" t="n"/>
      <c r="H289" s="11" t="n"/>
      <c r="I289" s="9" t="n"/>
      <c r="J289" s="9" t="n"/>
      <c r="K289" s="13">
        <f>IF(AND(H289="ja",J289="nee"),ROUND(37.5*G289/8,2),0)</f>
        <v/>
      </c>
      <c r="L289" s="9" t="n"/>
      <c r="M289" s="9" t="n"/>
      <c r="N289" s="11" t="n"/>
      <c r="O289" s="11">
        <f>IF(D289="","",IF(COUNTIFS($A$5:$A$404,A289,$D$5:$D$404,D289,$I$5:$I$404,"ja")=4,"compleet",COUNTIFS($A$5:$A$404,A289,$D$5:$D$404,D289,$I$5:$I$404,"ja")&amp;" van 4"))</f>
        <v/>
      </c>
    </row>
    <row r="290">
      <c r="A290" s="11" t="n"/>
      <c r="B290" s="11" t="n"/>
      <c r="C290" s="7" t="n"/>
      <c r="D290" s="11" t="n"/>
      <c r="E290" s="11" t="n"/>
      <c r="F290" s="11" t="n"/>
      <c r="G290" s="12" t="n"/>
      <c r="H290" s="11" t="n"/>
      <c r="I290" s="9" t="n"/>
      <c r="J290" s="9" t="n"/>
      <c r="K290" s="13">
        <f>IF(AND(H290="ja",J290="nee"),ROUND(37.5*G290/8,2),0)</f>
        <v/>
      </c>
      <c r="L290" s="9" t="n"/>
      <c r="M290" s="9" t="n"/>
      <c r="N290" s="11" t="n"/>
      <c r="O290" s="11">
        <f>IF(D290="","",IF(COUNTIFS($A$5:$A$404,A290,$D$5:$D$404,D290,$I$5:$I$404,"ja")=4,"compleet",COUNTIFS($A$5:$A$404,A290,$D$5:$D$404,D290,$I$5:$I$404,"ja")&amp;" van 4"))</f>
        <v/>
      </c>
    </row>
    <row r="291">
      <c r="A291" s="11" t="n"/>
      <c r="B291" s="11" t="n"/>
      <c r="C291" s="7" t="n"/>
      <c r="D291" s="11" t="n"/>
      <c r="E291" s="11" t="n"/>
      <c r="F291" s="11" t="n"/>
      <c r="G291" s="12" t="n"/>
      <c r="H291" s="11" t="n"/>
      <c r="I291" s="9" t="n"/>
      <c r="J291" s="9" t="n"/>
      <c r="K291" s="13">
        <f>IF(AND(H291="ja",J291="nee"),ROUND(37.5*G291/8,2),0)</f>
        <v/>
      </c>
      <c r="L291" s="9" t="n"/>
      <c r="M291" s="9" t="n"/>
      <c r="N291" s="11" t="n"/>
      <c r="O291" s="11">
        <f>IF(D291="","",IF(COUNTIFS($A$5:$A$404,A291,$D$5:$D$404,D291,$I$5:$I$404,"ja")=4,"compleet",COUNTIFS($A$5:$A$404,A291,$D$5:$D$404,D291,$I$5:$I$404,"ja")&amp;" van 4"))</f>
        <v/>
      </c>
    </row>
    <row r="292">
      <c r="A292" s="11" t="n"/>
      <c r="B292" s="11" t="n"/>
      <c r="C292" s="7" t="n"/>
      <c r="D292" s="11" t="n"/>
      <c r="E292" s="11" t="n"/>
      <c r="F292" s="11" t="n"/>
      <c r="G292" s="12" t="n"/>
      <c r="H292" s="11" t="n"/>
      <c r="I292" s="9" t="n"/>
      <c r="J292" s="9" t="n"/>
      <c r="K292" s="13">
        <f>IF(AND(H292="ja",J292="nee"),ROUND(37.5*G292/8,2),0)</f>
        <v/>
      </c>
      <c r="L292" s="9" t="n"/>
      <c r="M292" s="9" t="n"/>
      <c r="N292" s="11" t="n"/>
      <c r="O292" s="11">
        <f>IF(D292="","",IF(COUNTIFS($A$5:$A$404,A292,$D$5:$D$404,D292,$I$5:$I$404,"ja")=4,"compleet",COUNTIFS($A$5:$A$404,A292,$D$5:$D$404,D292,$I$5:$I$404,"ja")&amp;" van 4"))</f>
        <v/>
      </c>
    </row>
    <row r="293">
      <c r="A293" s="11" t="n"/>
      <c r="B293" s="11" t="n"/>
      <c r="C293" s="7" t="n"/>
      <c r="D293" s="11" t="n"/>
      <c r="E293" s="11" t="n"/>
      <c r="F293" s="11" t="n"/>
      <c r="G293" s="12" t="n"/>
      <c r="H293" s="11" t="n"/>
      <c r="I293" s="9" t="n"/>
      <c r="J293" s="9" t="n"/>
      <c r="K293" s="13">
        <f>IF(AND(H293="ja",J293="nee"),ROUND(37.5*G293/8,2),0)</f>
        <v/>
      </c>
      <c r="L293" s="9" t="n"/>
      <c r="M293" s="9" t="n"/>
      <c r="N293" s="11" t="n"/>
      <c r="O293" s="11">
        <f>IF(D293="","",IF(COUNTIFS($A$5:$A$404,A293,$D$5:$D$404,D293,$I$5:$I$404,"ja")=4,"compleet",COUNTIFS($A$5:$A$404,A293,$D$5:$D$404,D293,$I$5:$I$404,"ja")&amp;" van 4"))</f>
        <v/>
      </c>
    </row>
    <row r="294">
      <c r="A294" s="11" t="n"/>
      <c r="B294" s="11" t="n"/>
      <c r="C294" s="7" t="n"/>
      <c r="D294" s="11" t="n"/>
      <c r="E294" s="11" t="n"/>
      <c r="F294" s="11" t="n"/>
      <c r="G294" s="12" t="n"/>
      <c r="H294" s="11" t="n"/>
      <c r="I294" s="9" t="n"/>
      <c r="J294" s="9" t="n"/>
      <c r="K294" s="13">
        <f>IF(AND(H294="ja",J294="nee"),ROUND(37.5*G294/8,2),0)</f>
        <v/>
      </c>
      <c r="L294" s="9" t="n"/>
      <c r="M294" s="9" t="n"/>
      <c r="N294" s="11" t="n"/>
      <c r="O294" s="11">
        <f>IF(D294="","",IF(COUNTIFS($A$5:$A$404,A294,$D$5:$D$404,D294,$I$5:$I$404,"ja")=4,"compleet",COUNTIFS($A$5:$A$404,A294,$D$5:$D$404,D294,$I$5:$I$404,"ja")&amp;" van 4"))</f>
        <v/>
      </c>
    </row>
    <row r="295">
      <c r="A295" s="11" t="n"/>
      <c r="B295" s="11" t="n"/>
      <c r="C295" s="7" t="n"/>
      <c r="D295" s="11" t="n"/>
      <c r="E295" s="11" t="n"/>
      <c r="F295" s="11" t="n"/>
      <c r="G295" s="12" t="n"/>
      <c r="H295" s="11" t="n"/>
      <c r="I295" s="9" t="n"/>
      <c r="J295" s="9" t="n"/>
      <c r="K295" s="13">
        <f>IF(AND(H295="ja",J295="nee"),ROUND(37.5*G295/8,2),0)</f>
        <v/>
      </c>
      <c r="L295" s="9" t="n"/>
      <c r="M295" s="9" t="n"/>
      <c r="N295" s="11" t="n"/>
      <c r="O295" s="11">
        <f>IF(D295="","",IF(COUNTIFS($A$5:$A$404,A295,$D$5:$D$404,D295,$I$5:$I$404,"ja")=4,"compleet",COUNTIFS($A$5:$A$404,A295,$D$5:$D$404,D295,$I$5:$I$404,"ja")&amp;" van 4"))</f>
        <v/>
      </c>
    </row>
    <row r="296">
      <c r="A296" s="11" t="n"/>
      <c r="B296" s="11" t="n"/>
      <c r="C296" s="7" t="n"/>
      <c r="D296" s="11" t="n"/>
      <c r="E296" s="11" t="n"/>
      <c r="F296" s="11" t="n"/>
      <c r="G296" s="12" t="n"/>
      <c r="H296" s="11" t="n"/>
      <c r="I296" s="9" t="n"/>
      <c r="J296" s="9" t="n"/>
      <c r="K296" s="13">
        <f>IF(AND(H296="ja",J296="nee"),ROUND(37.5*G296/8,2),0)</f>
        <v/>
      </c>
      <c r="L296" s="9" t="n"/>
      <c r="M296" s="9" t="n"/>
      <c r="N296" s="11" t="n"/>
      <c r="O296" s="11">
        <f>IF(D296="","",IF(COUNTIFS($A$5:$A$404,A296,$D$5:$D$404,D296,$I$5:$I$404,"ja")=4,"compleet",COUNTIFS($A$5:$A$404,A296,$D$5:$D$404,D296,$I$5:$I$404,"ja")&amp;" van 4"))</f>
        <v/>
      </c>
    </row>
    <row r="297">
      <c r="A297" s="11" t="n"/>
      <c r="B297" s="11" t="n"/>
      <c r="C297" s="7" t="n"/>
      <c r="D297" s="11" t="n"/>
      <c r="E297" s="11" t="n"/>
      <c r="F297" s="11" t="n"/>
      <c r="G297" s="12" t="n"/>
      <c r="H297" s="11" t="n"/>
      <c r="I297" s="9" t="n"/>
      <c r="J297" s="9" t="n"/>
      <c r="K297" s="13">
        <f>IF(AND(H297="ja",J297="nee"),ROUND(37.5*G297/8,2),0)</f>
        <v/>
      </c>
      <c r="L297" s="9" t="n"/>
      <c r="M297" s="9" t="n"/>
      <c r="N297" s="11" t="n"/>
      <c r="O297" s="11">
        <f>IF(D297="","",IF(COUNTIFS($A$5:$A$404,A297,$D$5:$D$404,D297,$I$5:$I$404,"ja")=4,"compleet",COUNTIFS($A$5:$A$404,A297,$D$5:$D$404,D297,$I$5:$I$404,"ja")&amp;" van 4"))</f>
        <v/>
      </c>
    </row>
    <row r="298">
      <c r="A298" s="11" t="n"/>
      <c r="B298" s="11" t="n"/>
      <c r="C298" s="7" t="n"/>
      <c r="D298" s="11" t="n"/>
      <c r="E298" s="11" t="n"/>
      <c r="F298" s="11" t="n"/>
      <c r="G298" s="12" t="n"/>
      <c r="H298" s="11" t="n"/>
      <c r="I298" s="9" t="n"/>
      <c r="J298" s="9" t="n"/>
      <c r="K298" s="13">
        <f>IF(AND(H298="ja",J298="nee"),ROUND(37.5*G298/8,2),0)</f>
        <v/>
      </c>
      <c r="L298" s="9" t="n"/>
      <c r="M298" s="9" t="n"/>
      <c r="N298" s="11" t="n"/>
      <c r="O298" s="11">
        <f>IF(D298="","",IF(COUNTIFS($A$5:$A$404,A298,$D$5:$D$404,D298,$I$5:$I$404,"ja")=4,"compleet",COUNTIFS($A$5:$A$404,A298,$D$5:$D$404,D298,$I$5:$I$404,"ja")&amp;" van 4"))</f>
        <v/>
      </c>
    </row>
    <row r="299">
      <c r="A299" s="11" t="n"/>
      <c r="B299" s="11" t="n"/>
      <c r="C299" s="7" t="n"/>
      <c r="D299" s="11" t="n"/>
      <c r="E299" s="11" t="n"/>
      <c r="F299" s="11" t="n"/>
      <c r="G299" s="12" t="n"/>
      <c r="H299" s="11" t="n"/>
      <c r="I299" s="9" t="n"/>
      <c r="J299" s="9" t="n"/>
      <c r="K299" s="13">
        <f>IF(AND(H299="ja",J299="nee"),ROUND(37.5*G299/8,2),0)</f>
        <v/>
      </c>
      <c r="L299" s="9" t="n"/>
      <c r="M299" s="9" t="n"/>
      <c r="N299" s="11" t="n"/>
      <c r="O299" s="11">
        <f>IF(D299="","",IF(COUNTIFS($A$5:$A$404,A299,$D$5:$D$404,D299,$I$5:$I$404,"ja")=4,"compleet",COUNTIFS($A$5:$A$404,A299,$D$5:$D$404,D299,$I$5:$I$404,"ja")&amp;" van 4"))</f>
        <v/>
      </c>
    </row>
    <row r="300">
      <c r="A300" s="11" t="n"/>
      <c r="B300" s="11" t="n"/>
      <c r="C300" s="7" t="n"/>
      <c r="D300" s="11" t="n"/>
      <c r="E300" s="11" t="n"/>
      <c r="F300" s="11" t="n"/>
      <c r="G300" s="12" t="n"/>
      <c r="H300" s="11" t="n"/>
      <c r="I300" s="9" t="n"/>
      <c r="J300" s="9" t="n"/>
      <c r="K300" s="13">
        <f>IF(AND(H300="ja",J300="nee"),ROUND(37.5*G300/8,2),0)</f>
        <v/>
      </c>
      <c r="L300" s="9" t="n"/>
      <c r="M300" s="9" t="n"/>
      <c r="N300" s="11" t="n"/>
      <c r="O300" s="11">
        <f>IF(D300="","",IF(COUNTIFS($A$5:$A$404,A300,$D$5:$D$404,D300,$I$5:$I$404,"ja")=4,"compleet",COUNTIFS($A$5:$A$404,A300,$D$5:$D$404,D300,$I$5:$I$404,"ja")&amp;" van 4"))</f>
        <v/>
      </c>
    </row>
    <row r="301">
      <c r="A301" s="11" t="n"/>
      <c r="B301" s="11" t="n"/>
      <c r="C301" s="7" t="n"/>
      <c r="D301" s="11" t="n"/>
      <c r="E301" s="11" t="n"/>
      <c r="F301" s="11" t="n"/>
      <c r="G301" s="12" t="n"/>
      <c r="H301" s="11" t="n"/>
      <c r="I301" s="9" t="n"/>
      <c r="J301" s="9" t="n"/>
      <c r="K301" s="13">
        <f>IF(AND(H301="ja",J301="nee"),ROUND(37.5*G301/8,2),0)</f>
        <v/>
      </c>
      <c r="L301" s="9" t="n"/>
      <c r="M301" s="9" t="n"/>
      <c r="N301" s="11" t="n"/>
      <c r="O301" s="11">
        <f>IF(D301="","",IF(COUNTIFS($A$5:$A$404,A301,$D$5:$D$404,D301,$I$5:$I$404,"ja")=4,"compleet",COUNTIFS($A$5:$A$404,A301,$D$5:$D$404,D301,$I$5:$I$404,"ja")&amp;" van 4"))</f>
        <v/>
      </c>
    </row>
    <row r="302">
      <c r="A302" s="11" t="n"/>
      <c r="B302" s="11" t="n"/>
      <c r="C302" s="7" t="n"/>
      <c r="D302" s="11" t="n"/>
      <c r="E302" s="11" t="n"/>
      <c r="F302" s="11" t="n"/>
      <c r="G302" s="12" t="n"/>
      <c r="H302" s="11" t="n"/>
      <c r="I302" s="9" t="n"/>
      <c r="J302" s="9" t="n"/>
      <c r="K302" s="13">
        <f>IF(AND(H302="ja",J302="nee"),ROUND(37.5*G302/8,2),0)</f>
        <v/>
      </c>
      <c r="L302" s="9" t="n"/>
      <c r="M302" s="9" t="n"/>
      <c r="N302" s="11" t="n"/>
      <c r="O302" s="11">
        <f>IF(D302="","",IF(COUNTIFS($A$5:$A$404,A302,$D$5:$D$404,D302,$I$5:$I$404,"ja")=4,"compleet",COUNTIFS($A$5:$A$404,A302,$D$5:$D$404,D302,$I$5:$I$404,"ja")&amp;" van 4"))</f>
        <v/>
      </c>
    </row>
    <row r="303">
      <c r="A303" s="11" t="n"/>
      <c r="B303" s="11" t="n"/>
      <c r="C303" s="7" t="n"/>
      <c r="D303" s="11" t="n"/>
      <c r="E303" s="11" t="n"/>
      <c r="F303" s="11" t="n"/>
      <c r="G303" s="12" t="n"/>
      <c r="H303" s="11" t="n"/>
      <c r="I303" s="9" t="n"/>
      <c r="J303" s="9" t="n"/>
      <c r="K303" s="13">
        <f>IF(AND(H303="ja",J303="nee"),ROUND(37.5*G303/8,2),0)</f>
        <v/>
      </c>
      <c r="L303" s="9" t="n"/>
      <c r="M303" s="9" t="n"/>
      <c r="N303" s="11" t="n"/>
      <c r="O303" s="11">
        <f>IF(D303="","",IF(COUNTIFS($A$5:$A$404,A303,$D$5:$D$404,D303,$I$5:$I$404,"ja")=4,"compleet",COUNTIFS($A$5:$A$404,A303,$D$5:$D$404,D303,$I$5:$I$404,"ja")&amp;" van 4"))</f>
        <v/>
      </c>
    </row>
    <row r="304">
      <c r="A304" s="11" t="n"/>
      <c r="B304" s="11" t="n"/>
      <c r="C304" s="7" t="n"/>
      <c r="D304" s="11" t="n"/>
      <c r="E304" s="11" t="n"/>
      <c r="F304" s="11" t="n"/>
      <c r="G304" s="12" t="n"/>
      <c r="H304" s="11" t="n"/>
      <c r="I304" s="9" t="n"/>
      <c r="J304" s="9" t="n"/>
      <c r="K304" s="13">
        <f>IF(AND(H304="ja",J304="nee"),ROUND(37.5*G304/8,2),0)</f>
        <v/>
      </c>
      <c r="L304" s="9" t="n"/>
      <c r="M304" s="9" t="n"/>
      <c r="N304" s="11" t="n"/>
      <c r="O304" s="11">
        <f>IF(D304="","",IF(COUNTIFS($A$5:$A$404,A304,$D$5:$D$404,D304,$I$5:$I$404,"ja")=4,"compleet",COUNTIFS($A$5:$A$404,A304,$D$5:$D$404,D304,$I$5:$I$404,"ja")&amp;" van 4"))</f>
        <v/>
      </c>
    </row>
    <row r="305">
      <c r="A305" s="11" t="n"/>
      <c r="B305" s="11" t="n"/>
      <c r="C305" s="7" t="n"/>
      <c r="D305" s="11" t="n"/>
      <c r="E305" s="11" t="n"/>
      <c r="F305" s="11" t="n"/>
      <c r="G305" s="12" t="n"/>
      <c r="H305" s="11" t="n"/>
      <c r="I305" s="9" t="n"/>
      <c r="J305" s="9" t="n"/>
      <c r="K305" s="13">
        <f>IF(AND(H305="ja",J305="nee"),ROUND(37.5*G305/8,2),0)</f>
        <v/>
      </c>
      <c r="L305" s="9" t="n"/>
      <c r="M305" s="9" t="n"/>
      <c r="N305" s="11" t="n"/>
      <c r="O305" s="11">
        <f>IF(D305="","",IF(COUNTIFS($A$5:$A$404,A305,$D$5:$D$404,D305,$I$5:$I$404,"ja")=4,"compleet",COUNTIFS($A$5:$A$404,A305,$D$5:$D$404,D305,$I$5:$I$404,"ja")&amp;" van 4"))</f>
        <v/>
      </c>
    </row>
    <row r="306">
      <c r="A306" s="11" t="n"/>
      <c r="B306" s="11" t="n"/>
      <c r="C306" s="7" t="n"/>
      <c r="D306" s="11" t="n"/>
      <c r="E306" s="11" t="n"/>
      <c r="F306" s="11" t="n"/>
      <c r="G306" s="12" t="n"/>
      <c r="H306" s="11" t="n"/>
      <c r="I306" s="9" t="n"/>
      <c r="J306" s="9" t="n"/>
      <c r="K306" s="13">
        <f>IF(AND(H306="ja",J306="nee"),ROUND(37.5*G306/8,2),0)</f>
        <v/>
      </c>
      <c r="L306" s="9" t="n"/>
      <c r="M306" s="9" t="n"/>
      <c r="N306" s="11" t="n"/>
      <c r="O306" s="11">
        <f>IF(D306="","",IF(COUNTIFS($A$5:$A$404,A306,$D$5:$D$404,D306,$I$5:$I$404,"ja")=4,"compleet",COUNTIFS($A$5:$A$404,A306,$D$5:$D$404,D306,$I$5:$I$404,"ja")&amp;" van 4"))</f>
        <v/>
      </c>
    </row>
    <row r="307">
      <c r="A307" s="11" t="n"/>
      <c r="B307" s="11" t="n"/>
      <c r="C307" s="7" t="n"/>
      <c r="D307" s="11" t="n"/>
      <c r="E307" s="11" t="n"/>
      <c r="F307" s="11" t="n"/>
      <c r="G307" s="12" t="n"/>
      <c r="H307" s="11" t="n"/>
      <c r="I307" s="9" t="n"/>
      <c r="J307" s="9" t="n"/>
      <c r="K307" s="13">
        <f>IF(AND(H307="ja",J307="nee"),ROUND(37.5*G307/8,2),0)</f>
        <v/>
      </c>
      <c r="L307" s="9" t="n"/>
      <c r="M307" s="9" t="n"/>
      <c r="N307" s="11" t="n"/>
      <c r="O307" s="11">
        <f>IF(D307="","",IF(COUNTIFS($A$5:$A$404,A307,$D$5:$D$404,D307,$I$5:$I$404,"ja")=4,"compleet",COUNTIFS($A$5:$A$404,A307,$D$5:$D$404,D307,$I$5:$I$404,"ja")&amp;" van 4"))</f>
        <v/>
      </c>
    </row>
    <row r="308">
      <c r="A308" s="11" t="n"/>
      <c r="B308" s="11" t="n"/>
      <c r="C308" s="7" t="n"/>
      <c r="D308" s="11" t="n"/>
      <c r="E308" s="11" t="n"/>
      <c r="F308" s="11" t="n"/>
      <c r="G308" s="12" t="n"/>
      <c r="H308" s="11" t="n"/>
      <c r="I308" s="9" t="n"/>
      <c r="J308" s="9" t="n"/>
      <c r="K308" s="13">
        <f>IF(AND(H308="ja",J308="nee"),ROUND(37.5*G308/8,2),0)</f>
        <v/>
      </c>
      <c r="L308" s="9" t="n"/>
      <c r="M308" s="9" t="n"/>
      <c r="N308" s="11" t="n"/>
      <c r="O308" s="11">
        <f>IF(D308="","",IF(COUNTIFS($A$5:$A$404,A308,$D$5:$D$404,D308,$I$5:$I$404,"ja")=4,"compleet",COUNTIFS($A$5:$A$404,A308,$D$5:$D$404,D308,$I$5:$I$404,"ja")&amp;" van 4"))</f>
        <v/>
      </c>
    </row>
    <row r="309">
      <c r="A309" s="11" t="n"/>
      <c r="B309" s="11" t="n"/>
      <c r="C309" s="7" t="n"/>
      <c r="D309" s="11" t="n"/>
      <c r="E309" s="11" t="n"/>
      <c r="F309" s="11" t="n"/>
      <c r="G309" s="12" t="n"/>
      <c r="H309" s="11" t="n"/>
      <c r="I309" s="9" t="n"/>
      <c r="J309" s="9" t="n"/>
      <c r="K309" s="13">
        <f>IF(AND(H309="ja",J309="nee"),ROUND(37.5*G309/8,2),0)</f>
        <v/>
      </c>
      <c r="L309" s="9" t="n"/>
      <c r="M309" s="9" t="n"/>
      <c r="N309" s="11" t="n"/>
      <c r="O309" s="11">
        <f>IF(D309="","",IF(COUNTIFS($A$5:$A$404,A309,$D$5:$D$404,D309,$I$5:$I$404,"ja")=4,"compleet",COUNTIFS($A$5:$A$404,A309,$D$5:$D$404,D309,$I$5:$I$404,"ja")&amp;" van 4"))</f>
        <v/>
      </c>
    </row>
    <row r="310">
      <c r="A310" s="11" t="n"/>
      <c r="B310" s="11" t="n"/>
      <c r="C310" s="7" t="n"/>
      <c r="D310" s="11" t="n"/>
      <c r="E310" s="11" t="n"/>
      <c r="F310" s="11" t="n"/>
      <c r="G310" s="12" t="n"/>
      <c r="H310" s="11" t="n"/>
      <c r="I310" s="9" t="n"/>
      <c r="J310" s="9" t="n"/>
      <c r="K310" s="13">
        <f>IF(AND(H310="ja",J310="nee"),ROUND(37.5*G310/8,2),0)</f>
        <v/>
      </c>
      <c r="L310" s="9" t="n"/>
      <c r="M310" s="9" t="n"/>
      <c r="N310" s="11" t="n"/>
      <c r="O310" s="11">
        <f>IF(D310="","",IF(COUNTIFS($A$5:$A$404,A310,$D$5:$D$404,D310,$I$5:$I$404,"ja")=4,"compleet",COUNTIFS($A$5:$A$404,A310,$D$5:$D$404,D310,$I$5:$I$404,"ja")&amp;" van 4"))</f>
        <v/>
      </c>
    </row>
    <row r="311">
      <c r="A311" s="11" t="n"/>
      <c r="B311" s="11" t="n"/>
      <c r="C311" s="7" t="n"/>
      <c r="D311" s="11" t="n"/>
      <c r="E311" s="11" t="n"/>
      <c r="F311" s="11" t="n"/>
      <c r="G311" s="12" t="n"/>
      <c r="H311" s="11" t="n"/>
      <c r="I311" s="9" t="n"/>
      <c r="J311" s="9" t="n"/>
      <c r="K311" s="13">
        <f>IF(AND(H311="ja",J311="nee"),ROUND(37.5*G311/8,2),0)</f>
        <v/>
      </c>
      <c r="L311" s="9" t="n"/>
      <c r="M311" s="9" t="n"/>
      <c r="N311" s="11" t="n"/>
      <c r="O311" s="11">
        <f>IF(D311="","",IF(COUNTIFS($A$5:$A$404,A311,$D$5:$D$404,D311,$I$5:$I$404,"ja")=4,"compleet",COUNTIFS($A$5:$A$404,A311,$D$5:$D$404,D311,$I$5:$I$404,"ja")&amp;" van 4"))</f>
        <v/>
      </c>
    </row>
    <row r="312">
      <c r="A312" s="11" t="n"/>
      <c r="B312" s="11" t="n"/>
      <c r="C312" s="7" t="n"/>
      <c r="D312" s="11" t="n"/>
      <c r="E312" s="11" t="n"/>
      <c r="F312" s="11" t="n"/>
      <c r="G312" s="12" t="n"/>
      <c r="H312" s="11" t="n"/>
      <c r="I312" s="9" t="n"/>
      <c r="J312" s="9" t="n"/>
      <c r="K312" s="13">
        <f>IF(AND(H312="ja",J312="nee"),ROUND(37.5*G312/8,2),0)</f>
        <v/>
      </c>
      <c r="L312" s="9" t="n"/>
      <c r="M312" s="9" t="n"/>
      <c r="N312" s="11" t="n"/>
      <c r="O312" s="11">
        <f>IF(D312="","",IF(COUNTIFS($A$5:$A$404,A312,$D$5:$D$404,D312,$I$5:$I$404,"ja")=4,"compleet",COUNTIFS($A$5:$A$404,A312,$D$5:$D$404,D312,$I$5:$I$404,"ja")&amp;" van 4"))</f>
        <v/>
      </c>
    </row>
    <row r="313">
      <c r="A313" s="11" t="n"/>
      <c r="B313" s="11" t="n"/>
      <c r="C313" s="7" t="n"/>
      <c r="D313" s="11" t="n"/>
      <c r="E313" s="11" t="n"/>
      <c r="F313" s="11" t="n"/>
      <c r="G313" s="12" t="n"/>
      <c r="H313" s="11" t="n"/>
      <c r="I313" s="9" t="n"/>
      <c r="J313" s="9" t="n"/>
      <c r="K313" s="13">
        <f>IF(AND(H313="ja",J313="nee"),ROUND(37.5*G313/8,2),0)</f>
        <v/>
      </c>
      <c r="L313" s="9" t="n"/>
      <c r="M313" s="9" t="n"/>
      <c r="N313" s="11" t="n"/>
      <c r="O313" s="11">
        <f>IF(D313="","",IF(COUNTIFS($A$5:$A$404,A313,$D$5:$D$404,D313,$I$5:$I$404,"ja")=4,"compleet",COUNTIFS($A$5:$A$404,A313,$D$5:$D$404,D313,$I$5:$I$404,"ja")&amp;" van 4"))</f>
        <v/>
      </c>
    </row>
    <row r="314">
      <c r="A314" s="11" t="n"/>
      <c r="B314" s="11" t="n"/>
      <c r="C314" s="7" t="n"/>
      <c r="D314" s="11" t="n"/>
      <c r="E314" s="11" t="n"/>
      <c r="F314" s="11" t="n"/>
      <c r="G314" s="12" t="n"/>
      <c r="H314" s="11" t="n"/>
      <c r="I314" s="9" t="n"/>
      <c r="J314" s="9" t="n"/>
      <c r="K314" s="13">
        <f>IF(AND(H314="ja",J314="nee"),ROUND(37.5*G314/8,2),0)</f>
        <v/>
      </c>
      <c r="L314" s="9" t="n"/>
      <c r="M314" s="9" t="n"/>
      <c r="N314" s="11" t="n"/>
      <c r="O314" s="11">
        <f>IF(D314="","",IF(COUNTIFS($A$5:$A$404,A314,$D$5:$D$404,D314,$I$5:$I$404,"ja")=4,"compleet",COUNTIFS($A$5:$A$404,A314,$D$5:$D$404,D314,$I$5:$I$404,"ja")&amp;" van 4"))</f>
        <v/>
      </c>
    </row>
    <row r="315">
      <c r="A315" s="11" t="n"/>
      <c r="B315" s="11" t="n"/>
      <c r="C315" s="7" t="n"/>
      <c r="D315" s="11" t="n"/>
      <c r="E315" s="11" t="n"/>
      <c r="F315" s="11" t="n"/>
      <c r="G315" s="12" t="n"/>
      <c r="H315" s="11" t="n"/>
      <c r="I315" s="9" t="n"/>
      <c r="J315" s="9" t="n"/>
      <c r="K315" s="13">
        <f>IF(AND(H315="ja",J315="nee"),ROUND(37.5*G315/8,2),0)</f>
        <v/>
      </c>
      <c r="L315" s="9" t="n"/>
      <c r="M315" s="9" t="n"/>
      <c r="N315" s="11" t="n"/>
      <c r="O315" s="11">
        <f>IF(D315="","",IF(COUNTIFS($A$5:$A$404,A315,$D$5:$D$404,D315,$I$5:$I$404,"ja")=4,"compleet",COUNTIFS($A$5:$A$404,A315,$D$5:$D$404,D315,$I$5:$I$404,"ja")&amp;" van 4"))</f>
        <v/>
      </c>
    </row>
    <row r="316">
      <c r="A316" s="11" t="n"/>
      <c r="B316" s="11" t="n"/>
      <c r="C316" s="7" t="n"/>
      <c r="D316" s="11" t="n"/>
      <c r="E316" s="11" t="n"/>
      <c r="F316" s="11" t="n"/>
      <c r="G316" s="12" t="n"/>
      <c r="H316" s="11" t="n"/>
      <c r="I316" s="9" t="n"/>
      <c r="J316" s="9" t="n"/>
      <c r="K316" s="13">
        <f>IF(AND(H316="ja",J316="nee"),ROUND(37.5*G316/8,2),0)</f>
        <v/>
      </c>
      <c r="L316" s="9" t="n"/>
      <c r="M316" s="9" t="n"/>
      <c r="N316" s="11" t="n"/>
      <c r="O316" s="11">
        <f>IF(D316="","",IF(COUNTIFS($A$5:$A$404,A316,$D$5:$D$404,D316,$I$5:$I$404,"ja")=4,"compleet",COUNTIFS($A$5:$A$404,A316,$D$5:$D$404,D316,$I$5:$I$404,"ja")&amp;" van 4"))</f>
        <v/>
      </c>
    </row>
    <row r="317">
      <c r="A317" s="11" t="n"/>
      <c r="B317" s="11" t="n"/>
      <c r="C317" s="7" t="n"/>
      <c r="D317" s="11" t="n"/>
      <c r="E317" s="11" t="n"/>
      <c r="F317" s="11" t="n"/>
      <c r="G317" s="12" t="n"/>
      <c r="H317" s="11" t="n"/>
      <c r="I317" s="9" t="n"/>
      <c r="J317" s="9" t="n"/>
      <c r="K317" s="13">
        <f>IF(AND(H317="ja",J317="nee"),ROUND(37.5*G317/8,2),0)</f>
        <v/>
      </c>
      <c r="L317" s="9" t="n"/>
      <c r="M317" s="9" t="n"/>
      <c r="N317" s="11" t="n"/>
      <c r="O317" s="11">
        <f>IF(D317="","",IF(COUNTIFS($A$5:$A$404,A317,$D$5:$D$404,D317,$I$5:$I$404,"ja")=4,"compleet",COUNTIFS($A$5:$A$404,A317,$D$5:$D$404,D317,$I$5:$I$404,"ja")&amp;" van 4"))</f>
        <v/>
      </c>
    </row>
    <row r="318">
      <c r="A318" s="11" t="n"/>
      <c r="B318" s="11" t="n"/>
      <c r="C318" s="7" t="n"/>
      <c r="D318" s="11" t="n"/>
      <c r="E318" s="11" t="n"/>
      <c r="F318" s="11" t="n"/>
      <c r="G318" s="12" t="n"/>
      <c r="H318" s="11" t="n"/>
      <c r="I318" s="9" t="n"/>
      <c r="J318" s="9" t="n"/>
      <c r="K318" s="13">
        <f>IF(AND(H318="ja",J318="nee"),ROUND(37.5*G318/8,2),0)</f>
        <v/>
      </c>
      <c r="L318" s="9" t="n"/>
      <c r="M318" s="9" t="n"/>
      <c r="N318" s="11" t="n"/>
      <c r="O318" s="11">
        <f>IF(D318="","",IF(COUNTIFS($A$5:$A$404,A318,$D$5:$D$404,D318,$I$5:$I$404,"ja")=4,"compleet",COUNTIFS($A$5:$A$404,A318,$D$5:$D$404,D318,$I$5:$I$404,"ja")&amp;" van 4"))</f>
        <v/>
      </c>
    </row>
    <row r="319">
      <c r="A319" s="11" t="n"/>
      <c r="B319" s="11" t="n"/>
      <c r="C319" s="7" t="n"/>
      <c r="D319" s="11" t="n"/>
      <c r="E319" s="11" t="n"/>
      <c r="F319" s="11" t="n"/>
      <c r="G319" s="12" t="n"/>
      <c r="H319" s="11" t="n"/>
      <c r="I319" s="9" t="n"/>
      <c r="J319" s="9" t="n"/>
      <c r="K319" s="13">
        <f>IF(AND(H319="ja",J319="nee"),ROUND(37.5*G319/8,2),0)</f>
        <v/>
      </c>
      <c r="L319" s="9" t="n"/>
      <c r="M319" s="9" t="n"/>
      <c r="N319" s="11" t="n"/>
      <c r="O319" s="11">
        <f>IF(D319="","",IF(COUNTIFS($A$5:$A$404,A319,$D$5:$D$404,D319,$I$5:$I$404,"ja")=4,"compleet",COUNTIFS($A$5:$A$404,A319,$D$5:$D$404,D319,$I$5:$I$404,"ja")&amp;" van 4"))</f>
        <v/>
      </c>
    </row>
    <row r="320">
      <c r="A320" s="11" t="n"/>
      <c r="B320" s="11" t="n"/>
      <c r="C320" s="7" t="n"/>
      <c r="D320" s="11" t="n"/>
      <c r="E320" s="11" t="n"/>
      <c r="F320" s="11" t="n"/>
      <c r="G320" s="12" t="n"/>
      <c r="H320" s="11" t="n"/>
      <c r="I320" s="9" t="n"/>
      <c r="J320" s="9" t="n"/>
      <c r="K320" s="13">
        <f>IF(AND(H320="ja",J320="nee"),ROUND(37.5*G320/8,2),0)</f>
        <v/>
      </c>
      <c r="L320" s="9" t="n"/>
      <c r="M320" s="9" t="n"/>
      <c r="N320" s="11" t="n"/>
      <c r="O320" s="11">
        <f>IF(D320="","",IF(COUNTIFS($A$5:$A$404,A320,$D$5:$D$404,D320,$I$5:$I$404,"ja")=4,"compleet",COUNTIFS($A$5:$A$404,A320,$D$5:$D$404,D320,$I$5:$I$404,"ja")&amp;" van 4"))</f>
        <v/>
      </c>
    </row>
    <row r="321">
      <c r="A321" s="11" t="n"/>
      <c r="B321" s="11" t="n"/>
      <c r="C321" s="7" t="n"/>
      <c r="D321" s="11" t="n"/>
      <c r="E321" s="11" t="n"/>
      <c r="F321" s="11" t="n"/>
      <c r="G321" s="12" t="n"/>
      <c r="H321" s="11" t="n"/>
      <c r="I321" s="9" t="n"/>
      <c r="J321" s="9" t="n"/>
      <c r="K321" s="13">
        <f>IF(AND(H321="ja",J321="nee"),ROUND(37.5*G321/8,2),0)</f>
        <v/>
      </c>
      <c r="L321" s="9" t="n"/>
      <c r="M321" s="9" t="n"/>
      <c r="N321" s="11" t="n"/>
      <c r="O321" s="11">
        <f>IF(D321="","",IF(COUNTIFS($A$5:$A$404,A321,$D$5:$D$404,D321,$I$5:$I$404,"ja")=4,"compleet",COUNTIFS($A$5:$A$404,A321,$D$5:$D$404,D321,$I$5:$I$404,"ja")&amp;" van 4"))</f>
        <v/>
      </c>
    </row>
    <row r="322">
      <c r="A322" s="11" t="n"/>
      <c r="B322" s="11" t="n"/>
      <c r="C322" s="7" t="n"/>
      <c r="D322" s="11" t="n"/>
      <c r="E322" s="11" t="n"/>
      <c r="F322" s="11" t="n"/>
      <c r="G322" s="12" t="n"/>
      <c r="H322" s="11" t="n"/>
      <c r="I322" s="9" t="n"/>
      <c r="J322" s="9" t="n"/>
      <c r="K322" s="13">
        <f>IF(AND(H322="ja",J322="nee"),ROUND(37.5*G322/8,2),0)</f>
        <v/>
      </c>
      <c r="L322" s="9" t="n"/>
      <c r="M322" s="9" t="n"/>
      <c r="N322" s="11" t="n"/>
      <c r="O322" s="11">
        <f>IF(D322="","",IF(COUNTIFS($A$5:$A$404,A322,$D$5:$D$404,D322,$I$5:$I$404,"ja")=4,"compleet",COUNTIFS($A$5:$A$404,A322,$D$5:$D$404,D322,$I$5:$I$404,"ja")&amp;" van 4"))</f>
        <v/>
      </c>
    </row>
    <row r="323">
      <c r="A323" s="11" t="n"/>
      <c r="B323" s="11" t="n"/>
      <c r="C323" s="7" t="n"/>
      <c r="D323" s="11" t="n"/>
      <c r="E323" s="11" t="n"/>
      <c r="F323" s="11" t="n"/>
      <c r="G323" s="12" t="n"/>
      <c r="H323" s="11" t="n"/>
      <c r="I323" s="9" t="n"/>
      <c r="J323" s="9" t="n"/>
      <c r="K323" s="13">
        <f>IF(AND(H323="ja",J323="nee"),ROUND(37.5*G323/8,2),0)</f>
        <v/>
      </c>
      <c r="L323" s="9" t="n"/>
      <c r="M323" s="9" t="n"/>
      <c r="N323" s="11" t="n"/>
      <c r="O323" s="11">
        <f>IF(D323="","",IF(COUNTIFS($A$5:$A$404,A323,$D$5:$D$404,D323,$I$5:$I$404,"ja")=4,"compleet",COUNTIFS($A$5:$A$404,A323,$D$5:$D$404,D323,$I$5:$I$404,"ja")&amp;" van 4"))</f>
        <v/>
      </c>
    </row>
    <row r="324">
      <c r="A324" s="11" t="n"/>
      <c r="B324" s="11" t="n"/>
      <c r="C324" s="7" t="n"/>
      <c r="D324" s="11" t="n"/>
      <c r="E324" s="11" t="n"/>
      <c r="F324" s="11" t="n"/>
      <c r="G324" s="12" t="n"/>
      <c r="H324" s="11" t="n"/>
      <c r="I324" s="9" t="n"/>
      <c r="J324" s="9" t="n"/>
      <c r="K324" s="13">
        <f>IF(AND(H324="ja",J324="nee"),ROUND(37.5*G324/8,2),0)</f>
        <v/>
      </c>
      <c r="L324" s="9" t="n"/>
      <c r="M324" s="9" t="n"/>
      <c r="N324" s="11" t="n"/>
      <c r="O324" s="11">
        <f>IF(D324="","",IF(COUNTIFS($A$5:$A$404,A324,$D$5:$D$404,D324,$I$5:$I$404,"ja")=4,"compleet",COUNTIFS($A$5:$A$404,A324,$D$5:$D$404,D324,$I$5:$I$404,"ja")&amp;" van 4"))</f>
        <v/>
      </c>
    </row>
    <row r="325">
      <c r="A325" s="11" t="n"/>
      <c r="B325" s="11" t="n"/>
      <c r="C325" s="7" t="n"/>
      <c r="D325" s="11" t="n"/>
      <c r="E325" s="11" t="n"/>
      <c r="F325" s="11" t="n"/>
      <c r="G325" s="12" t="n"/>
      <c r="H325" s="11" t="n"/>
      <c r="I325" s="9" t="n"/>
      <c r="J325" s="9" t="n"/>
      <c r="K325" s="13">
        <f>IF(AND(H325="ja",J325="nee"),ROUND(37.5*G325/8,2),0)</f>
        <v/>
      </c>
      <c r="L325" s="9" t="n"/>
      <c r="M325" s="9" t="n"/>
      <c r="N325" s="11" t="n"/>
      <c r="O325" s="11">
        <f>IF(D325="","",IF(COUNTIFS($A$5:$A$404,A325,$D$5:$D$404,D325,$I$5:$I$404,"ja")=4,"compleet",COUNTIFS($A$5:$A$404,A325,$D$5:$D$404,D325,$I$5:$I$404,"ja")&amp;" van 4"))</f>
        <v/>
      </c>
    </row>
    <row r="326">
      <c r="A326" s="11" t="n"/>
      <c r="B326" s="11" t="n"/>
      <c r="C326" s="7" t="n"/>
      <c r="D326" s="11" t="n"/>
      <c r="E326" s="11" t="n"/>
      <c r="F326" s="11" t="n"/>
      <c r="G326" s="12" t="n"/>
      <c r="H326" s="11" t="n"/>
      <c r="I326" s="9" t="n"/>
      <c r="J326" s="9" t="n"/>
      <c r="K326" s="13">
        <f>IF(AND(H326="ja",J326="nee"),ROUND(37.5*G326/8,2),0)</f>
        <v/>
      </c>
      <c r="L326" s="9" t="n"/>
      <c r="M326" s="9" t="n"/>
      <c r="N326" s="11" t="n"/>
      <c r="O326" s="11">
        <f>IF(D326="","",IF(COUNTIFS($A$5:$A$404,A326,$D$5:$D$404,D326,$I$5:$I$404,"ja")=4,"compleet",COUNTIFS($A$5:$A$404,A326,$D$5:$D$404,D326,$I$5:$I$404,"ja")&amp;" van 4"))</f>
        <v/>
      </c>
    </row>
    <row r="327">
      <c r="A327" s="11" t="n"/>
      <c r="B327" s="11" t="n"/>
      <c r="C327" s="7" t="n"/>
      <c r="D327" s="11" t="n"/>
      <c r="E327" s="11" t="n"/>
      <c r="F327" s="11" t="n"/>
      <c r="G327" s="12" t="n"/>
      <c r="H327" s="11" t="n"/>
      <c r="I327" s="9" t="n"/>
      <c r="J327" s="9" t="n"/>
      <c r="K327" s="13">
        <f>IF(AND(H327="ja",J327="nee"),ROUND(37.5*G327/8,2),0)</f>
        <v/>
      </c>
      <c r="L327" s="9" t="n"/>
      <c r="M327" s="9" t="n"/>
      <c r="N327" s="11" t="n"/>
      <c r="O327" s="11">
        <f>IF(D327="","",IF(COUNTIFS($A$5:$A$404,A327,$D$5:$D$404,D327,$I$5:$I$404,"ja")=4,"compleet",COUNTIFS($A$5:$A$404,A327,$D$5:$D$404,D327,$I$5:$I$404,"ja")&amp;" van 4"))</f>
        <v/>
      </c>
    </row>
    <row r="328">
      <c r="A328" s="11" t="n"/>
      <c r="B328" s="11" t="n"/>
      <c r="C328" s="7" t="n"/>
      <c r="D328" s="11" t="n"/>
      <c r="E328" s="11" t="n"/>
      <c r="F328" s="11" t="n"/>
      <c r="G328" s="12" t="n"/>
      <c r="H328" s="11" t="n"/>
      <c r="I328" s="9" t="n"/>
      <c r="J328" s="9" t="n"/>
      <c r="K328" s="13">
        <f>IF(AND(H328="ja",J328="nee"),ROUND(37.5*G328/8,2),0)</f>
        <v/>
      </c>
      <c r="L328" s="9" t="n"/>
      <c r="M328" s="9" t="n"/>
      <c r="N328" s="11" t="n"/>
      <c r="O328" s="11">
        <f>IF(D328="","",IF(COUNTIFS($A$5:$A$404,A328,$D$5:$D$404,D328,$I$5:$I$404,"ja")=4,"compleet",COUNTIFS($A$5:$A$404,A328,$D$5:$D$404,D328,$I$5:$I$404,"ja")&amp;" van 4"))</f>
        <v/>
      </c>
    </row>
    <row r="329">
      <c r="A329" s="11" t="n"/>
      <c r="B329" s="11" t="n"/>
      <c r="C329" s="7" t="n"/>
      <c r="D329" s="11" t="n"/>
      <c r="E329" s="11" t="n"/>
      <c r="F329" s="11" t="n"/>
      <c r="G329" s="12" t="n"/>
      <c r="H329" s="11" t="n"/>
      <c r="I329" s="9" t="n"/>
      <c r="J329" s="9" t="n"/>
      <c r="K329" s="13">
        <f>IF(AND(H329="ja",J329="nee"),ROUND(37.5*G329/8,2),0)</f>
        <v/>
      </c>
      <c r="L329" s="9" t="n"/>
      <c r="M329" s="9" t="n"/>
      <c r="N329" s="11" t="n"/>
      <c r="O329" s="11">
        <f>IF(D329="","",IF(COUNTIFS($A$5:$A$404,A329,$D$5:$D$404,D329,$I$5:$I$404,"ja")=4,"compleet",COUNTIFS($A$5:$A$404,A329,$D$5:$D$404,D329,$I$5:$I$404,"ja")&amp;" van 4"))</f>
        <v/>
      </c>
    </row>
    <row r="330">
      <c r="A330" s="11" t="n"/>
      <c r="B330" s="11" t="n"/>
      <c r="C330" s="7" t="n"/>
      <c r="D330" s="11" t="n"/>
      <c r="E330" s="11" t="n"/>
      <c r="F330" s="11" t="n"/>
      <c r="G330" s="12" t="n"/>
      <c r="H330" s="11" t="n"/>
      <c r="I330" s="9" t="n"/>
      <c r="J330" s="9" t="n"/>
      <c r="K330" s="13">
        <f>IF(AND(H330="ja",J330="nee"),ROUND(37.5*G330/8,2),0)</f>
        <v/>
      </c>
      <c r="L330" s="9" t="n"/>
      <c r="M330" s="9" t="n"/>
      <c r="N330" s="11" t="n"/>
      <c r="O330" s="11">
        <f>IF(D330="","",IF(COUNTIFS($A$5:$A$404,A330,$D$5:$D$404,D330,$I$5:$I$404,"ja")=4,"compleet",COUNTIFS($A$5:$A$404,A330,$D$5:$D$404,D330,$I$5:$I$404,"ja")&amp;" van 4"))</f>
        <v/>
      </c>
    </row>
    <row r="331">
      <c r="A331" s="11" t="n"/>
      <c r="B331" s="11" t="n"/>
      <c r="C331" s="7" t="n"/>
      <c r="D331" s="11" t="n"/>
      <c r="E331" s="11" t="n"/>
      <c r="F331" s="11" t="n"/>
      <c r="G331" s="12" t="n"/>
      <c r="H331" s="11" t="n"/>
      <c r="I331" s="9" t="n"/>
      <c r="J331" s="9" t="n"/>
      <c r="K331" s="13">
        <f>IF(AND(H331="ja",J331="nee"),ROUND(37.5*G331/8,2),0)</f>
        <v/>
      </c>
      <c r="L331" s="9" t="n"/>
      <c r="M331" s="9" t="n"/>
      <c r="N331" s="11" t="n"/>
      <c r="O331" s="11">
        <f>IF(D331="","",IF(COUNTIFS($A$5:$A$404,A331,$D$5:$D$404,D331,$I$5:$I$404,"ja")=4,"compleet",COUNTIFS($A$5:$A$404,A331,$D$5:$D$404,D331,$I$5:$I$404,"ja")&amp;" van 4"))</f>
        <v/>
      </c>
    </row>
    <row r="332">
      <c r="A332" s="11" t="n"/>
      <c r="B332" s="11" t="n"/>
      <c r="C332" s="7" t="n"/>
      <c r="D332" s="11" t="n"/>
      <c r="E332" s="11" t="n"/>
      <c r="F332" s="11" t="n"/>
      <c r="G332" s="12" t="n"/>
      <c r="H332" s="11" t="n"/>
      <c r="I332" s="9" t="n"/>
      <c r="J332" s="9" t="n"/>
      <c r="K332" s="13">
        <f>IF(AND(H332="ja",J332="nee"),ROUND(37.5*G332/8,2),0)</f>
        <v/>
      </c>
      <c r="L332" s="9" t="n"/>
      <c r="M332" s="9" t="n"/>
      <c r="N332" s="11" t="n"/>
      <c r="O332" s="11">
        <f>IF(D332="","",IF(COUNTIFS($A$5:$A$404,A332,$D$5:$D$404,D332,$I$5:$I$404,"ja")=4,"compleet",COUNTIFS($A$5:$A$404,A332,$D$5:$D$404,D332,$I$5:$I$404,"ja")&amp;" van 4"))</f>
        <v/>
      </c>
    </row>
    <row r="333">
      <c r="A333" s="11" t="n"/>
      <c r="B333" s="11" t="n"/>
      <c r="C333" s="7" t="n"/>
      <c r="D333" s="11" t="n"/>
      <c r="E333" s="11" t="n"/>
      <c r="F333" s="11" t="n"/>
      <c r="G333" s="12" t="n"/>
      <c r="H333" s="11" t="n"/>
      <c r="I333" s="9" t="n"/>
      <c r="J333" s="9" t="n"/>
      <c r="K333" s="13">
        <f>IF(AND(H333="ja",J333="nee"),ROUND(37.5*G333/8,2),0)</f>
        <v/>
      </c>
      <c r="L333" s="9" t="n"/>
      <c r="M333" s="9" t="n"/>
      <c r="N333" s="11" t="n"/>
      <c r="O333" s="11">
        <f>IF(D333="","",IF(COUNTIFS($A$5:$A$404,A333,$D$5:$D$404,D333,$I$5:$I$404,"ja")=4,"compleet",COUNTIFS($A$5:$A$404,A333,$D$5:$D$404,D333,$I$5:$I$404,"ja")&amp;" van 4"))</f>
        <v/>
      </c>
    </row>
    <row r="334">
      <c r="A334" s="11" t="n"/>
      <c r="B334" s="11" t="n"/>
      <c r="C334" s="7" t="n"/>
      <c r="D334" s="11" t="n"/>
      <c r="E334" s="11" t="n"/>
      <c r="F334" s="11" t="n"/>
      <c r="G334" s="12" t="n"/>
      <c r="H334" s="11" t="n"/>
      <c r="I334" s="9" t="n"/>
      <c r="J334" s="9" t="n"/>
      <c r="K334" s="13">
        <f>IF(AND(H334="ja",J334="nee"),ROUND(37.5*G334/8,2),0)</f>
        <v/>
      </c>
      <c r="L334" s="9" t="n"/>
      <c r="M334" s="9" t="n"/>
      <c r="N334" s="11" t="n"/>
      <c r="O334" s="11">
        <f>IF(D334="","",IF(COUNTIFS($A$5:$A$404,A334,$D$5:$D$404,D334,$I$5:$I$404,"ja")=4,"compleet",COUNTIFS($A$5:$A$404,A334,$D$5:$D$404,D334,$I$5:$I$404,"ja")&amp;" van 4"))</f>
        <v/>
      </c>
    </row>
    <row r="335">
      <c r="A335" s="11" t="n"/>
      <c r="B335" s="11" t="n"/>
      <c r="C335" s="7" t="n"/>
      <c r="D335" s="11" t="n"/>
      <c r="E335" s="11" t="n"/>
      <c r="F335" s="11" t="n"/>
      <c r="G335" s="12" t="n"/>
      <c r="H335" s="11" t="n"/>
      <c r="I335" s="9" t="n"/>
      <c r="J335" s="9" t="n"/>
      <c r="K335" s="13">
        <f>IF(AND(H335="ja",J335="nee"),ROUND(37.5*G335/8,2),0)</f>
        <v/>
      </c>
      <c r="L335" s="9" t="n"/>
      <c r="M335" s="9" t="n"/>
      <c r="N335" s="11" t="n"/>
      <c r="O335" s="11">
        <f>IF(D335="","",IF(COUNTIFS($A$5:$A$404,A335,$D$5:$D$404,D335,$I$5:$I$404,"ja")=4,"compleet",COUNTIFS($A$5:$A$404,A335,$D$5:$D$404,D335,$I$5:$I$404,"ja")&amp;" van 4"))</f>
        <v/>
      </c>
    </row>
    <row r="336">
      <c r="A336" s="11" t="n"/>
      <c r="B336" s="11" t="n"/>
      <c r="C336" s="7" t="n"/>
      <c r="D336" s="11" t="n"/>
      <c r="E336" s="11" t="n"/>
      <c r="F336" s="11" t="n"/>
      <c r="G336" s="12" t="n"/>
      <c r="H336" s="11" t="n"/>
      <c r="I336" s="9" t="n"/>
      <c r="J336" s="9" t="n"/>
      <c r="K336" s="13">
        <f>IF(AND(H336="ja",J336="nee"),ROUND(37.5*G336/8,2),0)</f>
        <v/>
      </c>
      <c r="L336" s="9" t="n"/>
      <c r="M336" s="9" t="n"/>
      <c r="N336" s="11" t="n"/>
      <c r="O336" s="11">
        <f>IF(D336="","",IF(COUNTIFS($A$5:$A$404,A336,$D$5:$D$404,D336,$I$5:$I$404,"ja")=4,"compleet",COUNTIFS($A$5:$A$404,A336,$D$5:$D$404,D336,$I$5:$I$404,"ja")&amp;" van 4"))</f>
        <v/>
      </c>
    </row>
    <row r="337">
      <c r="A337" s="11" t="n"/>
      <c r="B337" s="11" t="n"/>
      <c r="C337" s="7" t="n"/>
      <c r="D337" s="11" t="n"/>
      <c r="E337" s="11" t="n"/>
      <c r="F337" s="11" t="n"/>
      <c r="G337" s="12" t="n"/>
      <c r="H337" s="11" t="n"/>
      <c r="I337" s="9" t="n"/>
      <c r="J337" s="9" t="n"/>
      <c r="K337" s="13">
        <f>IF(AND(H337="ja",J337="nee"),ROUND(37.5*G337/8,2),0)</f>
        <v/>
      </c>
      <c r="L337" s="9" t="n"/>
      <c r="M337" s="9" t="n"/>
      <c r="N337" s="11" t="n"/>
      <c r="O337" s="11">
        <f>IF(D337="","",IF(COUNTIFS($A$5:$A$404,A337,$D$5:$D$404,D337,$I$5:$I$404,"ja")=4,"compleet",COUNTIFS($A$5:$A$404,A337,$D$5:$D$404,D337,$I$5:$I$404,"ja")&amp;" van 4"))</f>
        <v/>
      </c>
    </row>
    <row r="338">
      <c r="A338" s="11" t="n"/>
      <c r="B338" s="11" t="n"/>
      <c r="C338" s="7" t="n"/>
      <c r="D338" s="11" t="n"/>
      <c r="E338" s="11" t="n"/>
      <c r="F338" s="11" t="n"/>
      <c r="G338" s="12" t="n"/>
      <c r="H338" s="11" t="n"/>
      <c r="I338" s="9" t="n"/>
      <c r="J338" s="9" t="n"/>
      <c r="K338" s="13">
        <f>IF(AND(H338="ja",J338="nee"),ROUND(37.5*G338/8,2),0)</f>
        <v/>
      </c>
      <c r="L338" s="9" t="n"/>
      <c r="M338" s="9" t="n"/>
      <c r="N338" s="11" t="n"/>
      <c r="O338" s="11">
        <f>IF(D338="","",IF(COUNTIFS($A$5:$A$404,A338,$D$5:$D$404,D338,$I$5:$I$404,"ja")=4,"compleet",COUNTIFS($A$5:$A$404,A338,$D$5:$D$404,D338,$I$5:$I$404,"ja")&amp;" van 4"))</f>
        <v/>
      </c>
    </row>
    <row r="339">
      <c r="A339" s="11" t="n"/>
      <c r="B339" s="11" t="n"/>
      <c r="C339" s="7" t="n"/>
      <c r="D339" s="11" t="n"/>
      <c r="E339" s="11" t="n"/>
      <c r="F339" s="11" t="n"/>
      <c r="G339" s="12" t="n"/>
      <c r="H339" s="11" t="n"/>
      <c r="I339" s="9" t="n"/>
      <c r="J339" s="9" t="n"/>
      <c r="K339" s="13">
        <f>IF(AND(H339="ja",J339="nee"),ROUND(37.5*G339/8,2),0)</f>
        <v/>
      </c>
      <c r="L339" s="9" t="n"/>
      <c r="M339" s="9" t="n"/>
      <c r="N339" s="11" t="n"/>
      <c r="O339" s="11">
        <f>IF(D339="","",IF(COUNTIFS($A$5:$A$404,A339,$D$5:$D$404,D339,$I$5:$I$404,"ja")=4,"compleet",COUNTIFS($A$5:$A$404,A339,$D$5:$D$404,D339,$I$5:$I$404,"ja")&amp;" van 4"))</f>
        <v/>
      </c>
    </row>
    <row r="340">
      <c r="A340" s="11" t="n"/>
      <c r="B340" s="11" t="n"/>
      <c r="C340" s="7" t="n"/>
      <c r="D340" s="11" t="n"/>
      <c r="E340" s="11" t="n"/>
      <c r="F340" s="11" t="n"/>
      <c r="G340" s="12" t="n"/>
      <c r="H340" s="11" t="n"/>
      <c r="I340" s="9" t="n"/>
      <c r="J340" s="9" t="n"/>
      <c r="K340" s="13">
        <f>IF(AND(H340="ja",J340="nee"),ROUND(37.5*G340/8,2),0)</f>
        <v/>
      </c>
      <c r="L340" s="9" t="n"/>
      <c r="M340" s="9" t="n"/>
      <c r="N340" s="11" t="n"/>
      <c r="O340" s="11">
        <f>IF(D340="","",IF(COUNTIFS($A$5:$A$404,A340,$D$5:$D$404,D340,$I$5:$I$404,"ja")=4,"compleet",COUNTIFS($A$5:$A$404,A340,$D$5:$D$404,D340,$I$5:$I$404,"ja")&amp;" van 4"))</f>
        <v/>
      </c>
    </row>
    <row r="341">
      <c r="A341" s="11" t="n"/>
      <c r="B341" s="11" t="n"/>
      <c r="C341" s="7" t="n"/>
      <c r="D341" s="11" t="n"/>
      <c r="E341" s="11" t="n"/>
      <c r="F341" s="11" t="n"/>
      <c r="G341" s="12" t="n"/>
      <c r="H341" s="11" t="n"/>
      <c r="I341" s="9" t="n"/>
      <c r="J341" s="9" t="n"/>
      <c r="K341" s="13">
        <f>IF(AND(H341="ja",J341="nee"),ROUND(37.5*G341/8,2),0)</f>
        <v/>
      </c>
      <c r="L341" s="9" t="n"/>
      <c r="M341" s="9" t="n"/>
      <c r="N341" s="11" t="n"/>
      <c r="O341" s="11">
        <f>IF(D341="","",IF(COUNTIFS($A$5:$A$404,A341,$D$5:$D$404,D341,$I$5:$I$404,"ja")=4,"compleet",COUNTIFS($A$5:$A$404,A341,$D$5:$D$404,D341,$I$5:$I$404,"ja")&amp;" van 4"))</f>
        <v/>
      </c>
    </row>
    <row r="342">
      <c r="A342" s="11" t="n"/>
      <c r="B342" s="11" t="n"/>
      <c r="C342" s="7" t="n"/>
      <c r="D342" s="11" t="n"/>
      <c r="E342" s="11" t="n"/>
      <c r="F342" s="11" t="n"/>
      <c r="G342" s="12" t="n"/>
      <c r="H342" s="11" t="n"/>
      <c r="I342" s="9" t="n"/>
      <c r="J342" s="9" t="n"/>
      <c r="K342" s="13">
        <f>IF(AND(H342="ja",J342="nee"),ROUND(37.5*G342/8,2),0)</f>
        <v/>
      </c>
      <c r="L342" s="9" t="n"/>
      <c r="M342" s="9" t="n"/>
      <c r="N342" s="11" t="n"/>
      <c r="O342" s="11">
        <f>IF(D342="","",IF(COUNTIFS($A$5:$A$404,A342,$D$5:$D$404,D342,$I$5:$I$404,"ja")=4,"compleet",COUNTIFS($A$5:$A$404,A342,$D$5:$D$404,D342,$I$5:$I$404,"ja")&amp;" van 4"))</f>
        <v/>
      </c>
    </row>
    <row r="343">
      <c r="A343" s="11" t="n"/>
      <c r="B343" s="11" t="n"/>
      <c r="C343" s="7" t="n"/>
      <c r="D343" s="11" t="n"/>
      <c r="E343" s="11" t="n"/>
      <c r="F343" s="11" t="n"/>
      <c r="G343" s="12" t="n"/>
      <c r="H343" s="11" t="n"/>
      <c r="I343" s="9" t="n"/>
      <c r="J343" s="9" t="n"/>
      <c r="K343" s="13">
        <f>IF(AND(H343="ja",J343="nee"),ROUND(37.5*G343/8,2),0)</f>
        <v/>
      </c>
      <c r="L343" s="9" t="n"/>
      <c r="M343" s="9" t="n"/>
      <c r="N343" s="11" t="n"/>
      <c r="O343" s="11">
        <f>IF(D343="","",IF(COUNTIFS($A$5:$A$404,A343,$D$5:$D$404,D343,$I$5:$I$404,"ja")=4,"compleet",COUNTIFS($A$5:$A$404,A343,$D$5:$D$404,D343,$I$5:$I$404,"ja")&amp;" van 4"))</f>
        <v/>
      </c>
    </row>
    <row r="344">
      <c r="A344" s="11" t="n"/>
      <c r="B344" s="11" t="n"/>
      <c r="C344" s="7" t="n"/>
      <c r="D344" s="11" t="n"/>
      <c r="E344" s="11" t="n"/>
      <c r="F344" s="11" t="n"/>
      <c r="G344" s="12" t="n"/>
      <c r="H344" s="11" t="n"/>
      <c r="I344" s="9" t="n"/>
      <c r="J344" s="9" t="n"/>
      <c r="K344" s="13">
        <f>IF(AND(H344="ja",J344="nee"),ROUND(37.5*G344/8,2),0)</f>
        <v/>
      </c>
      <c r="L344" s="9" t="n"/>
      <c r="M344" s="9" t="n"/>
      <c r="N344" s="11" t="n"/>
      <c r="O344" s="11">
        <f>IF(D344="","",IF(COUNTIFS($A$5:$A$404,A344,$D$5:$D$404,D344,$I$5:$I$404,"ja")=4,"compleet",COUNTIFS($A$5:$A$404,A344,$D$5:$D$404,D344,$I$5:$I$404,"ja")&amp;" van 4"))</f>
        <v/>
      </c>
    </row>
    <row r="345">
      <c r="A345" s="11" t="n"/>
      <c r="B345" s="11" t="n"/>
      <c r="C345" s="7" t="n"/>
      <c r="D345" s="11" t="n"/>
      <c r="E345" s="11" t="n"/>
      <c r="F345" s="11" t="n"/>
      <c r="G345" s="12" t="n"/>
      <c r="H345" s="11" t="n"/>
      <c r="I345" s="9" t="n"/>
      <c r="J345" s="9" t="n"/>
      <c r="K345" s="13">
        <f>IF(AND(H345="ja",J345="nee"),ROUND(37.5*G345/8,2),0)</f>
        <v/>
      </c>
      <c r="L345" s="9" t="n"/>
      <c r="M345" s="9" t="n"/>
      <c r="N345" s="11" t="n"/>
      <c r="O345" s="11">
        <f>IF(D345="","",IF(COUNTIFS($A$5:$A$404,A345,$D$5:$D$404,D345,$I$5:$I$404,"ja")=4,"compleet",COUNTIFS($A$5:$A$404,A345,$D$5:$D$404,D345,$I$5:$I$404,"ja")&amp;" van 4"))</f>
        <v/>
      </c>
    </row>
    <row r="346">
      <c r="A346" s="11" t="n"/>
      <c r="B346" s="11" t="n"/>
      <c r="C346" s="7" t="n"/>
      <c r="D346" s="11" t="n"/>
      <c r="E346" s="11" t="n"/>
      <c r="F346" s="11" t="n"/>
      <c r="G346" s="12" t="n"/>
      <c r="H346" s="11" t="n"/>
      <c r="I346" s="9" t="n"/>
      <c r="J346" s="9" t="n"/>
      <c r="K346" s="13">
        <f>IF(AND(H346="ja",J346="nee"),ROUND(37.5*G346/8,2),0)</f>
        <v/>
      </c>
      <c r="L346" s="9" t="n"/>
      <c r="M346" s="9" t="n"/>
      <c r="N346" s="11" t="n"/>
      <c r="O346" s="11">
        <f>IF(D346="","",IF(COUNTIFS($A$5:$A$404,A346,$D$5:$D$404,D346,$I$5:$I$404,"ja")=4,"compleet",COUNTIFS($A$5:$A$404,A346,$D$5:$D$404,D346,$I$5:$I$404,"ja")&amp;" van 4"))</f>
        <v/>
      </c>
    </row>
    <row r="347">
      <c r="A347" s="11" t="n"/>
      <c r="B347" s="11" t="n"/>
      <c r="C347" s="7" t="n"/>
      <c r="D347" s="11" t="n"/>
      <c r="E347" s="11" t="n"/>
      <c r="F347" s="11" t="n"/>
      <c r="G347" s="12" t="n"/>
      <c r="H347" s="11" t="n"/>
      <c r="I347" s="9" t="n"/>
      <c r="J347" s="9" t="n"/>
      <c r="K347" s="13">
        <f>IF(AND(H347="ja",J347="nee"),ROUND(37.5*G347/8,2),0)</f>
        <v/>
      </c>
      <c r="L347" s="9" t="n"/>
      <c r="M347" s="9" t="n"/>
      <c r="N347" s="11" t="n"/>
      <c r="O347" s="11">
        <f>IF(D347="","",IF(COUNTIFS($A$5:$A$404,A347,$D$5:$D$404,D347,$I$5:$I$404,"ja")=4,"compleet",COUNTIFS($A$5:$A$404,A347,$D$5:$D$404,D347,$I$5:$I$404,"ja")&amp;" van 4"))</f>
        <v/>
      </c>
    </row>
    <row r="348">
      <c r="A348" s="11" t="n"/>
      <c r="B348" s="11" t="n"/>
      <c r="C348" s="7" t="n"/>
      <c r="D348" s="11" t="n"/>
      <c r="E348" s="11" t="n"/>
      <c r="F348" s="11" t="n"/>
      <c r="G348" s="12" t="n"/>
      <c r="H348" s="11" t="n"/>
      <c r="I348" s="9" t="n"/>
      <c r="J348" s="9" t="n"/>
      <c r="K348" s="13">
        <f>IF(AND(H348="ja",J348="nee"),ROUND(37.5*G348/8,2),0)</f>
        <v/>
      </c>
      <c r="L348" s="9" t="n"/>
      <c r="M348" s="9" t="n"/>
      <c r="N348" s="11" t="n"/>
      <c r="O348" s="11">
        <f>IF(D348="","",IF(COUNTIFS($A$5:$A$404,A348,$D$5:$D$404,D348,$I$5:$I$404,"ja")=4,"compleet",COUNTIFS($A$5:$A$404,A348,$D$5:$D$404,D348,$I$5:$I$404,"ja")&amp;" van 4"))</f>
        <v/>
      </c>
    </row>
    <row r="349">
      <c r="A349" s="11" t="n"/>
      <c r="B349" s="11" t="n"/>
      <c r="C349" s="7" t="n"/>
      <c r="D349" s="11" t="n"/>
      <c r="E349" s="11" t="n"/>
      <c r="F349" s="11" t="n"/>
      <c r="G349" s="12" t="n"/>
      <c r="H349" s="11" t="n"/>
      <c r="I349" s="9" t="n"/>
      <c r="J349" s="9" t="n"/>
      <c r="K349" s="13">
        <f>IF(AND(H349="ja",J349="nee"),ROUND(37.5*G349/8,2),0)</f>
        <v/>
      </c>
      <c r="L349" s="9" t="n"/>
      <c r="M349" s="9" t="n"/>
      <c r="N349" s="11" t="n"/>
      <c r="O349" s="11">
        <f>IF(D349="","",IF(COUNTIFS($A$5:$A$404,A349,$D$5:$D$404,D349,$I$5:$I$404,"ja")=4,"compleet",COUNTIFS($A$5:$A$404,A349,$D$5:$D$404,D349,$I$5:$I$404,"ja")&amp;" van 4"))</f>
        <v/>
      </c>
    </row>
    <row r="350">
      <c r="A350" s="11" t="n"/>
      <c r="B350" s="11" t="n"/>
      <c r="C350" s="7" t="n"/>
      <c r="D350" s="11" t="n"/>
      <c r="E350" s="11" t="n"/>
      <c r="F350" s="11" t="n"/>
      <c r="G350" s="12" t="n"/>
      <c r="H350" s="11" t="n"/>
      <c r="I350" s="9" t="n"/>
      <c r="J350" s="9" t="n"/>
      <c r="K350" s="13">
        <f>IF(AND(H350="ja",J350="nee"),ROUND(37.5*G350/8,2),0)</f>
        <v/>
      </c>
      <c r="L350" s="9" t="n"/>
      <c r="M350" s="9" t="n"/>
      <c r="N350" s="11" t="n"/>
      <c r="O350" s="11">
        <f>IF(D350="","",IF(COUNTIFS($A$5:$A$404,A350,$D$5:$D$404,D350,$I$5:$I$404,"ja")=4,"compleet",COUNTIFS($A$5:$A$404,A350,$D$5:$D$404,D350,$I$5:$I$404,"ja")&amp;" van 4"))</f>
        <v/>
      </c>
    </row>
    <row r="351">
      <c r="A351" s="11" t="n"/>
      <c r="B351" s="11" t="n"/>
      <c r="C351" s="7" t="n"/>
      <c r="D351" s="11" t="n"/>
      <c r="E351" s="11" t="n"/>
      <c r="F351" s="11" t="n"/>
      <c r="G351" s="12" t="n"/>
      <c r="H351" s="11" t="n"/>
      <c r="I351" s="9" t="n"/>
      <c r="J351" s="9" t="n"/>
      <c r="K351" s="13">
        <f>IF(AND(H351="ja",J351="nee"),ROUND(37.5*G351/8,2),0)</f>
        <v/>
      </c>
      <c r="L351" s="9" t="n"/>
      <c r="M351" s="9" t="n"/>
      <c r="N351" s="11" t="n"/>
      <c r="O351" s="11">
        <f>IF(D351="","",IF(COUNTIFS($A$5:$A$404,A351,$D$5:$D$404,D351,$I$5:$I$404,"ja")=4,"compleet",COUNTIFS($A$5:$A$404,A351,$D$5:$D$404,D351,$I$5:$I$404,"ja")&amp;" van 4"))</f>
        <v/>
      </c>
    </row>
    <row r="352">
      <c r="A352" s="11" t="n"/>
      <c r="B352" s="11" t="n"/>
      <c r="C352" s="7" t="n"/>
      <c r="D352" s="11" t="n"/>
      <c r="E352" s="11" t="n"/>
      <c r="F352" s="11" t="n"/>
      <c r="G352" s="12" t="n"/>
      <c r="H352" s="11" t="n"/>
      <c r="I352" s="9" t="n"/>
      <c r="J352" s="9" t="n"/>
      <c r="K352" s="13">
        <f>IF(AND(H352="ja",J352="nee"),ROUND(37.5*G352/8,2),0)</f>
        <v/>
      </c>
      <c r="L352" s="9" t="n"/>
      <c r="M352" s="9" t="n"/>
      <c r="N352" s="11" t="n"/>
      <c r="O352" s="11">
        <f>IF(D352="","",IF(COUNTIFS($A$5:$A$404,A352,$D$5:$D$404,D352,$I$5:$I$404,"ja")=4,"compleet",COUNTIFS($A$5:$A$404,A352,$D$5:$D$404,D352,$I$5:$I$404,"ja")&amp;" van 4"))</f>
        <v/>
      </c>
    </row>
    <row r="353">
      <c r="A353" s="11" t="n"/>
      <c r="B353" s="11" t="n"/>
      <c r="C353" s="7" t="n"/>
      <c r="D353" s="11" t="n"/>
      <c r="E353" s="11" t="n"/>
      <c r="F353" s="11" t="n"/>
      <c r="G353" s="12" t="n"/>
      <c r="H353" s="11" t="n"/>
      <c r="I353" s="9" t="n"/>
      <c r="J353" s="9" t="n"/>
      <c r="K353" s="13">
        <f>IF(AND(H353="ja",J353="nee"),ROUND(37.5*G353/8,2),0)</f>
        <v/>
      </c>
      <c r="L353" s="9" t="n"/>
      <c r="M353" s="9" t="n"/>
      <c r="N353" s="11" t="n"/>
      <c r="O353" s="11">
        <f>IF(D353="","",IF(COUNTIFS($A$5:$A$404,A353,$D$5:$D$404,D353,$I$5:$I$404,"ja")=4,"compleet",COUNTIFS($A$5:$A$404,A353,$D$5:$D$404,D353,$I$5:$I$404,"ja")&amp;" van 4"))</f>
        <v/>
      </c>
    </row>
    <row r="354">
      <c r="A354" s="11" t="n"/>
      <c r="B354" s="11" t="n"/>
      <c r="C354" s="7" t="n"/>
      <c r="D354" s="11" t="n"/>
      <c r="E354" s="11" t="n"/>
      <c r="F354" s="11" t="n"/>
      <c r="G354" s="12" t="n"/>
      <c r="H354" s="11" t="n"/>
      <c r="I354" s="9" t="n"/>
      <c r="J354" s="9" t="n"/>
      <c r="K354" s="13">
        <f>IF(AND(H354="ja",J354="nee"),ROUND(37.5*G354/8,2),0)</f>
        <v/>
      </c>
      <c r="L354" s="9" t="n"/>
      <c r="M354" s="9" t="n"/>
      <c r="N354" s="11" t="n"/>
      <c r="O354" s="11">
        <f>IF(D354="","",IF(COUNTIFS($A$5:$A$404,A354,$D$5:$D$404,D354,$I$5:$I$404,"ja")=4,"compleet",COUNTIFS($A$5:$A$404,A354,$D$5:$D$404,D354,$I$5:$I$404,"ja")&amp;" van 4"))</f>
        <v/>
      </c>
    </row>
    <row r="355">
      <c r="A355" s="11" t="n"/>
      <c r="B355" s="11" t="n"/>
      <c r="C355" s="7" t="n"/>
      <c r="D355" s="11" t="n"/>
      <c r="E355" s="11" t="n"/>
      <c r="F355" s="11" t="n"/>
      <c r="G355" s="12" t="n"/>
      <c r="H355" s="11" t="n"/>
      <c r="I355" s="9" t="n"/>
      <c r="J355" s="9" t="n"/>
      <c r="K355" s="13">
        <f>IF(AND(H355="ja",J355="nee"),ROUND(37.5*G355/8,2),0)</f>
        <v/>
      </c>
      <c r="L355" s="9" t="n"/>
      <c r="M355" s="9" t="n"/>
      <c r="N355" s="11" t="n"/>
      <c r="O355" s="11">
        <f>IF(D355="","",IF(COUNTIFS($A$5:$A$404,A355,$D$5:$D$404,D355,$I$5:$I$404,"ja")=4,"compleet",COUNTIFS($A$5:$A$404,A355,$D$5:$D$404,D355,$I$5:$I$404,"ja")&amp;" van 4"))</f>
        <v/>
      </c>
    </row>
    <row r="356">
      <c r="A356" s="11" t="n"/>
      <c r="B356" s="11" t="n"/>
      <c r="C356" s="7" t="n"/>
      <c r="D356" s="11" t="n"/>
      <c r="E356" s="11" t="n"/>
      <c r="F356" s="11" t="n"/>
      <c r="G356" s="12" t="n"/>
      <c r="H356" s="11" t="n"/>
      <c r="I356" s="9" t="n"/>
      <c r="J356" s="9" t="n"/>
      <c r="K356" s="13">
        <f>IF(AND(H356="ja",J356="nee"),ROUND(37.5*G356/8,2),0)</f>
        <v/>
      </c>
      <c r="L356" s="9" t="n"/>
      <c r="M356" s="9" t="n"/>
      <c r="N356" s="11" t="n"/>
      <c r="O356" s="11">
        <f>IF(D356="","",IF(COUNTIFS($A$5:$A$404,A356,$D$5:$D$404,D356,$I$5:$I$404,"ja")=4,"compleet",COUNTIFS($A$5:$A$404,A356,$D$5:$D$404,D356,$I$5:$I$404,"ja")&amp;" van 4"))</f>
        <v/>
      </c>
    </row>
    <row r="357">
      <c r="A357" s="11" t="n"/>
      <c r="B357" s="11" t="n"/>
      <c r="C357" s="7" t="n"/>
      <c r="D357" s="11" t="n"/>
      <c r="E357" s="11" t="n"/>
      <c r="F357" s="11" t="n"/>
      <c r="G357" s="12" t="n"/>
      <c r="H357" s="11" t="n"/>
      <c r="I357" s="9" t="n"/>
      <c r="J357" s="9" t="n"/>
      <c r="K357" s="13">
        <f>IF(AND(H357="ja",J357="nee"),ROUND(37.5*G357/8,2),0)</f>
        <v/>
      </c>
      <c r="L357" s="9" t="n"/>
      <c r="M357" s="9" t="n"/>
      <c r="N357" s="11" t="n"/>
      <c r="O357" s="11">
        <f>IF(D357="","",IF(COUNTIFS($A$5:$A$404,A357,$D$5:$D$404,D357,$I$5:$I$404,"ja")=4,"compleet",COUNTIFS($A$5:$A$404,A357,$D$5:$D$404,D357,$I$5:$I$404,"ja")&amp;" van 4"))</f>
        <v/>
      </c>
    </row>
    <row r="358">
      <c r="A358" s="11" t="n"/>
      <c r="B358" s="11" t="n"/>
      <c r="C358" s="7" t="n"/>
      <c r="D358" s="11" t="n"/>
      <c r="E358" s="11" t="n"/>
      <c r="F358" s="11" t="n"/>
      <c r="G358" s="12" t="n"/>
      <c r="H358" s="11" t="n"/>
      <c r="I358" s="9" t="n"/>
      <c r="J358" s="9" t="n"/>
      <c r="K358" s="13">
        <f>IF(AND(H358="ja",J358="nee"),ROUND(37.5*G358/8,2),0)</f>
        <v/>
      </c>
      <c r="L358" s="9" t="n"/>
      <c r="M358" s="9" t="n"/>
      <c r="N358" s="11" t="n"/>
      <c r="O358" s="11">
        <f>IF(D358="","",IF(COUNTIFS($A$5:$A$404,A358,$D$5:$D$404,D358,$I$5:$I$404,"ja")=4,"compleet",COUNTIFS($A$5:$A$404,A358,$D$5:$D$404,D358,$I$5:$I$404,"ja")&amp;" van 4"))</f>
        <v/>
      </c>
    </row>
    <row r="359">
      <c r="A359" s="11" t="n"/>
      <c r="B359" s="11" t="n"/>
      <c r="C359" s="7" t="n"/>
      <c r="D359" s="11" t="n"/>
      <c r="E359" s="11" t="n"/>
      <c r="F359" s="11" t="n"/>
      <c r="G359" s="12" t="n"/>
      <c r="H359" s="11" t="n"/>
      <c r="I359" s="9" t="n"/>
      <c r="J359" s="9" t="n"/>
      <c r="K359" s="13">
        <f>IF(AND(H359="ja",J359="nee"),ROUND(37.5*G359/8,2),0)</f>
        <v/>
      </c>
      <c r="L359" s="9" t="n"/>
      <c r="M359" s="9" t="n"/>
      <c r="N359" s="11" t="n"/>
      <c r="O359" s="11">
        <f>IF(D359="","",IF(COUNTIFS($A$5:$A$404,A359,$D$5:$D$404,D359,$I$5:$I$404,"ja")=4,"compleet",COUNTIFS($A$5:$A$404,A359,$D$5:$D$404,D359,$I$5:$I$404,"ja")&amp;" van 4"))</f>
        <v/>
      </c>
    </row>
    <row r="360">
      <c r="A360" s="11" t="n"/>
      <c r="B360" s="11" t="n"/>
      <c r="C360" s="7" t="n"/>
      <c r="D360" s="11" t="n"/>
      <c r="E360" s="11" t="n"/>
      <c r="F360" s="11" t="n"/>
      <c r="G360" s="12" t="n"/>
      <c r="H360" s="11" t="n"/>
      <c r="I360" s="9" t="n"/>
      <c r="J360" s="9" t="n"/>
      <c r="K360" s="13">
        <f>IF(AND(H360="ja",J360="nee"),ROUND(37.5*G360/8,2),0)</f>
        <v/>
      </c>
      <c r="L360" s="9" t="n"/>
      <c r="M360" s="9" t="n"/>
      <c r="N360" s="11" t="n"/>
      <c r="O360" s="11">
        <f>IF(D360="","",IF(COUNTIFS($A$5:$A$404,A360,$D$5:$D$404,D360,$I$5:$I$404,"ja")=4,"compleet",COUNTIFS($A$5:$A$404,A360,$D$5:$D$404,D360,$I$5:$I$404,"ja")&amp;" van 4"))</f>
        <v/>
      </c>
    </row>
    <row r="361">
      <c r="A361" s="11" t="n"/>
      <c r="B361" s="11" t="n"/>
      <c r="C361" s="7" t="n"/>
      <c r="D361" s="11" t="n"/>
      <c r="E361" s="11" t="n"/>
      <c r="F361" s="11" t="n"/>
      <c r="G361" s="12" t="n"/>
      <c r="H361" s="11" t="n"/>
      <c r="I361" s="9" t="n"/>
      <c r="J361" s="9" t="n"/>
      <c r="K361" s="13">
        <f>IF(AND(H361="ja",J361="nee"),ROUND(37.5*G361/8,2),0)</f>
        <v/>
      </c>
      <c r="L361" s="9" t="n"/>
      <c r="M361" s="9" t="n"/>
      <c r="N361" s="11" t="n"/>
      <c r="O361" s="11">
        <f>IF(D361="","",IF(COUNTIFS($A$5:$A$404,A361,$D$5:$D$404,D361,$I$5:$I$404,"ja")=4,"compleet",COUNTIFS($A$5:$A$404,A361,$D$5:$D$404,D361,$I$5:$I$404,"ja")&amp;" van 4"))</f>
        <v/>
      </c>
    </row>
    <row r="362">
      <c r="A362" s="11" t="n"/>
      <c r="B362" s="11" t="n"/>
      <c r="C362" s="7" t="n"/>
      <c r="D362" s="11" t="n"/>
      <c r="E362" s="11" t="n"/>
      <c r="F362" s="11" t="n"/>
      <c r="G362" s="12" t="n"/>
      <c r="H362" s="11" t="n"/>
      <c r="I362" s="9" t="n"/>
      <c r="J362" s="9" t="n"/>
      <c r="K362" s="13">
        <f>IF(AND(H362="ja",J362="nee"),ROUND(37.5*G362/8,2),0)</f>
        <v/>
      </c>
      <c r="L362" s="9" t="n"/>
      <c r="M362" s="9" t="n"/>
      <c r="N362" s="11" t="n"/>
      <c r="O362" s="11">
        <f>IF(D362="","",IF(COUNTIFS($A$5:$A$404,A362,$D$5:$D$404,D362,$I$5:$I$404,"ja")=4,"compleet",COUNTIFS($A$5:$A$404,A362,$D$5:$D$404,D362,$I$5:$I$404,"ja")&amp;" van 4"))</f>
        <v/>
      </c>
    </row>
    <row r="363">
      <c r="A363" s="11" t="n"/>
      <c r="B363" s="11" t="n"/>
      <c r="C363" s="7" t="n"/>
      <c r="D363" s="11" t="n"/>
      <c r="E363" s="11" t="n"/>
      <c r="F363" s="11" t="n"/>
      <c r="G363" s="12" t="n"/>
      <c r="H363" s="11" t="n"/>
      <c r="I363" s="9" t="n"/>
      <c r="J363" s="9" t="n"/>
      <c r="K363" s="13">
        <f>IF(AND(H363="ja",J363="nee"),ROUND(37.5*G363/8,2),0)</f>
        <v/>
      </c>
      <c r="L363" s="9" t="n"/>
      <c r="M363" s="9" t="n"/>
      <c r="N363" s="11" t="n"/>
      <c r="O363" s="11">
        <f>IF(D363="","",IF(COUNTIFS($A$5:$A$404,A363,$D$5:$D$404,D363,$I$5:$I$404,"ja")=4,"compleet",COUNTIFS($A$5:$A$404,A363,$D$5:$D$404,D363,$I$5:$I$404,"ja")&amp;" van 4"))</f>
        <v/>
      </c>
    </row>
    <row r="364">
      <c r="A364" s="11" t="n"/>
      <c r="B364" s="11" t="n"/>
      <c r="C364" s="7" t="n"/>
      <c r="D364" s="11" t="n"/>
      <c r="E364" s="11" t="n"/>
      <c r="F364" s="11" t="n"/>
      <c r="G364" s="12" t="n"/>
      <c r="H364" s="11" t="n"/>
      <c r="I364" s="9" t="n"/>
      <c r="J364" s="9" t="n"/>
      <c r="K364" s="13">
        <f>IF(AND(H364="ja",J364="nee"),ROUND(37.5*G364/8,2),0)</f>
        <v/>
      </c>
      <c r="L364" s="9" t="n"/>
      <c r="M364" s="9" t="n"/>
      <c r="N364" s="11" t="n"/>
      <c r="O364" s="11">
        <f>IF(D364="","",IF(COUNTIFS($A$5:$A$404,A364,$D$5:$D$404,D364,$I$5:$I$404,"ja")=4,"compleet",COUNTIFS($A$5:$A$404,A364,$D$5:$D$404,D364,$I$5:$I$404,"ja")&amp;" van 4"))</f>
        <v/>
      </c>
    </row>
    <row r="365">
      <c r="A365" s="11" t="n"/>
      <c r="B365" s="11" t="n"/>
      <c r="C365" s="7" t="n"/>
      <c r="D365" s="11" t="n"/>
      <c r="E365" s="11" t="n"/>
      <c r="F365" s="11" t="n"/>
      <c r="G365" s="12" t="n"/>
      <c r="H365" s="11" t="n"/>
      <c r="I365" s="9" t="n"/>
      <c r="J365" s="9" t="n"/>
      <c r="K365" s="13">
        <f>IF(AND(H365="ja",J365="nee"),ROUND(37.5*G365/8,2),0)</f>
        <v/>
      </c>
      <c r="L365" s="9" t="n"/>
      <c r="M365" s="9" t="n"/>
      <c r="N365" s="11" t="n"/>
      <c r="O365" s="11">
        <f>IF(D365="","",IF(COUNTIFS($A$5:$A$404,A365,$D$5:$D$404,D365,$I$5:$I$404,"ja")=4,"compleet",COUNTIFS($A$5:$A$404,A365,$D$5:$D$404,D365,$I$5:$I$404,"ja")&amp;" van 4"))</f>
        <v/>
      </c>
    </row>
    <row r="366">
      <c r="A366" s="11" t="n"/>
      <c r="B366" s="11" t="n"/>
      <c r="C366" s="7" t="n"/>
      <c r="D366" s="11" t="n"/>
      <c r="E366" s="11" t="n"/>
      <c r="F366" s="11" t="n"/>
      <c r="G366" s="12" t="n"/>
      <c r="H366" s="11" t="n"/>
      <c r="I366" s="9" t="n"/>
      <c r="J366" s="9" t="n"/>
      <c r="K366" s="13">
        <f>IF(AND(H366="ja",J366="nee"),ROUND(37.5*G366/8,2),0)</f>
        <v/>
      </c>
      <c r="L366" s="9" t="n"/>
      <c r="M366" s="9" t="n"/>
      <c r="N366" s="11" t="n"/>
      <c r="O366" s="11">
        <f>IF(D366="","",IF(COUNTIFS($A$5:$A$404,A366,$D$5:$D$404,D366,$I$5:$I$404,"ja")=4,"compleet",COUNTIFS($A$5:$A$404,A366,$D$5:$D$404,D366,$I$5:$I$404,"ja")&amp;" van 4"))</f>
        <v/>
      </c>
    </row>
    <row r="367">
      <c r="A367" s="11" t="n"/>
      <c r="B367" s="11" t="n"/>
      <c r="C367" s="7" t="n"/>
      <c r="D367" s="11" t="n"/>
      <c r="E367" s="11" t="n"/>
      <c r="F367" s="11" t="n"/>
      <c r="G367" s="12" t="n"/>
      <c r="H367" s="11" t="n"/>
      <c r="I367" s="9" t="n"/>
      <c r="J367" s="9" t="n"/>
      <c r="K367" s="13">
        <f>IF(AND(H367="ja",J367="nee"),ROUND(37.5*G367/8,2),0)</f>
        <v/>
      </c>
      <c r="L367" s="9" t="n"/>
      <c r="M367" s="9" t="n"/>
      <c r="N367" s="11" t="n"/>
      <c r="O367" s="11">
        <f>IF(D367="","",IF(COUNTIFS($A$5:$A$404,A367,$D$5:$D$404,D367,$I$5:$I$404,"ja")=4,"compleet",COUNTIFS($A$5:$A$404,A367,$D$5:$D$404,D367,$I$5:$I$404,"ja")&amp;" van 4"))</f>
        <v/>
      </c>
    </row>
    <row r="368">
      <c r="A368" s="11" t="n"/>
      <c r="B368" s="11" t="n"/>
      <c r="C368" s="7" t="n"/>
      <c r="D368" s="11" t="n"/>
      <c r="E368" s="11" t="n"/>
      <c r="F368" s="11" t="n"/>
      <c r="G368" s="12" t="n"/>
      <c r="H368" s="11" t="n"/>
      <c r="I368" s="9" t="n"/>
      <c r="J368" s="9" t="n"/>
      <c r="K368" s="13">
        <f>IF(AND(H368="ja",J368="nee"),ROUND(37.5*G368/8,2),0)</f>
        <v/>
      </c>
      <c r="L368" s="9" t="n"/>
      <c r="M368" s="9" t="n"/>
      <c r="N368" s="11" t="n"/>
      <c r="O368" s="11">
        <f>IF(D368="","",IF(COUNTIFS($A$5:$A$404,A368,$D$5:$D$404,D368,$I$5:$I$404,"ja")=4,"compleet",COUNTIFS($A$5:$A$404,A368,$D$5:$D$404,D368,$I$5:$I$404,"ja")&amp;" van 4"))</f>
        <v/>
      </c>
    </row>
    <row r="369">
      <c r="A369" s="11" t="n"/>
      <c r="B369" s="11" t="n"/>
      <c r="C369" s="7" t="n"/>
      <c r="D369" s="11" t="n"/>
      <c r="E369" s="11" t="n"/>
      <c r="F369" s="11" t="n"/>
      <c r="G369" s="12" t="n"/>
      <c r="H369" s="11" t="n"/>
      <c r="I369" s="9" t="n"/>
      <c r="J369" s="9" t="n"/>
      <c r="K369" s="13">
        <f>IF(AND(H369="ja",J369="nee"),ROUND(37.5*G369/8,2),0)</f>
        <v/>
      </c>
      <c r="L369" s="9" t="n"/>
      <c r="M369" s="9" t="n"/>
      <c r="N369" s="11" t="n"/>
      <c r="O369" s="11">
        <f>IF(D369="","",IF(COUNTIFS($A$5:$A$404,A369,$D$5:$D$404,D369,$I$5:$I$404,"ja")=4,"compleet",COUNTIFS($A$5:$A$404,A369,$D$5:$D$404,D369,$I$5:$I$404,"ja")&amp;" van 4"))</f>
        <v/>
      </c>
    </row>
    <row r="370">
      <c r="A370" s="11" t="n"/>
      <c r="B370" s="11" t="n"/>
      <c r="C370" s="7" t="n"/>
      <c r="D370" s="11" t="n"/>
      <c r="E370" s="11" t="n"/>
      <c r="F370" s="11" t="n"/>
      <c r="G370" s="12" t="n"/>
      <c r="H370" s="11" t="n"/>
      <c r="I370" s="9" t="n"/>
      <c r="J370" s="9" t="n"/>
      <c r="K370" s="13">
        <f>IF(AND(H370="ja",J370="nee"),ROUND(37.5*G370/8,2),0)</f>
        <v/>
      </c>
      <c r="L370" s="9" t="n"/>
      <c r="M370" s="9" t="n"/>
      <c r="N370" s="11" t="n"/>
      <c r="O370" s="11">
        <f>IF(D370="","",IF(COUNTIFS($A$5:$A$404,A370,$D$5:$D$404,D370,$I$5:$I$404,"ja")=4,"compleet",COUNTIFS($A$5:$A$404,A370,$D$5:$D$404,D370,$I$5:$I$404,"ja")&amp;" van 4"))</f>
        <v/>
      </c>
    </row>
    <row r="371">
      <c r="A371" s="11" t="n"/>
      <c r="B371" s="11" t="n"/>
      <c r="C371" s="7" t="n"/>
      <c r="D371" s="11" t="n"/>
      <c r="E371" s="11" t="n"/>
      <c r="F371" s="11" t="n"/>
      <c r="G371" s="12" t="n"/>
      <c r="H371" s="11" t="n"/>
      <c r="I371" s="9" t="n"/>
      <c r="J371" s="9" t="n"/>
      <c r="K371" s="13">
        <f>IF(AND(H371="ja",J371="nee"),ROUND(37.5*G371/8,2),0)</f>
        <v/>
      </c>
      <c r="L371" s="9" t="n"/>
      <c r="M371" s="9" t="n"/>
      <c r="N371" s="11" t="n"/>
      <c r="O371" s="11">
        <f>IF(D371="","",IF(COUNTIFS($A$5:$A$404,A371,$D$5:$D$404,D371,$I$5:$I$404,"ja")=4,"compleet",COUNTIFS($A$5:$A$404,A371,$D$5:$D$404,D371,$I$5:$I$404,"ja")&amp;" van 4"))</f>
        <v/>
      </c>
    </row>
    <row r="372">
      <c r="A372" s="11" t="n"/>
      <c r="B372" s="11" t="n"/>
      <c r="C372" s="7" t="n"/>
      <c r="D372" s="11" t="n"/>
      <c r="E372" s="11" t="n"/>
      <c r="F372" s="11" t="n"/>
      <c r="G372" s="12" t="n"/>
      <c r="H372" s="11" t="n"/>
      <c r="I372" s="9" t="n"/>
      <c r="J372" s="9" t="n"/>
      <c r="K372" s="13">
        <f>IF(AND(H372="ja",J372="nee"),ROUND(37.5*G372/8,2),0)</f>
        <v/>
      </c>
      <c r="L372" s="9" t="n"/>
      <c r="M372" s="9" t="n"/>
      <c r="N372" s="11" t="n"/>
      <c r="O372" s="11">
        <f>IF(D372="","",IF(COUNTIFS($A$5:$A$404,A372,$D$5:$D$404,D372,$I$5:$I$404,"ja")=4,"compleet",COUNTIFS($A$5:$A$404,A372,$D$5:$D$404,D372,$I$5:$I$404,"ja")&amp;" van 4"))</f>
        <v/>
      </c>
    </row>
    <row r="373">
      <c r="A373" s="11" t="n"/>
      <c r="B373" s="11" t="n"/>
      <c r="C373" s="7" t="n"/>
      <c r="D373" s="11" t="n"/>
      <c r="E373" s="11" t="n"/>
      <c r="F373" s="11" t="n"/>
      <c r="G373" s="12" t="n"/>
      <c r="H373" s="11" t="n"/>
      <c r="I373" s="9" t="n"/>
      <c r="J373" s="9" t="n"/>
      <c r="K373" s="13">
        <f>IF(AND(H373="ja",J373="nee"),ROUND(37.5*G373/8,2),0)</f>
        <v/>
      </c>
      <c r="L373" s="9" t="n"/>
      <c r="M373" s="9" t="n"/>
      <c r="N373" s="11" t="n"/>
      <c r="O373" s="11">
        <f>IF(D373="","",IF(COUNTIFS($A$5:$A$404,A373,$D$5:$D$404,D373,$I$5:$I$404,"ja")=4,"compleet",COUNTIFS($A$5:$A$404,A373,$D$5:$D$404,D373,$I$5:$I$404,"ja")&amp;" van 4"))</f>
        <v/>
      </c>
    </row>
    <row r="374">
      <c r="A374" s="11" t="n"/>
      <c r="B374" s="11" t="n"/>
      <c r="C374" s="7" t="n"/>
      <c r="D374" s="11" t="n"/>
      <c r="E374" s="11" t="n"/>
      <c r="F374" s="11" t="n"/>
      <c r="G374" s="12" t="n"/>
      <c r="H374" s="11" t="n"/>
      <c r="I374" s="9" t="n"/>
      <c r="J374" s="9" t="n"/>
      <c r="K374" s="13">
        <f>IF(AND(H374="ja",J374="nee"),ROUND(37.5*G374/8,2),0)</f>
        <v/>
      </c>
      <c r="L374" s="9" t="n"/>
      <c r="M374" s="9" t="n"/>
      <c r="N374" s="11" t="n"/>
      <c r="O374" s="11">
        <f>IF(D374="","",IF(COUNTIFS($A$5:$A$404,A374,$D$5:$D$404,D374,$I$5:$I$404,"ja")=4,"compleet",COUNTIFS($A$5:$A$404,A374,$D$5:$D$404,D374,$I$5:$I$404,"ja")&amp;" van 4"))</f>
        <v/>
      </c>
    </row>
    <row r="375">
      <c r="A375" s="11" t="n"/>
      <c r="B375" s="11" t="n"/>
      <c r="C375" s="7" t="n"/>
      <c r="D375" s="11" t="n"/>
      <c r="E375" s="11" t="n"/>
      <c r="F375" s="11" t="n"/>
      <c r="G375" s="12" t="n"/>
      <c r="H375" s="11" t="n"/>
      <c r="I375" s="9" t="n"/>
      <c r="J375" s="9" t="n"/>
      <c r="K375" s="13">
        <f>IF(AND(H375="ja",J375="nee"),ROUND(37.5*G375/8,2),0)</f>
        <v/>
      </c>
      <c r="L375" s="9" t="n"/>
      <c r="M375" s="9" t="n"/>
      <c r="N375" s="11" t="n"/>
      <c r="O375" s="11">
        <f>IF(D375="","",IF(COUNTIFS($A$5:$A$404,A375,$D$5:$D$404,D375,$I$5:$I$404,"ja")=4,"compleet",COUNTIFS($A$5:$A$404,A375,$D$5:$D$404,D375,$I$5:$I$404,"ja")&amp;" van 4"))</f>
        <v/>
      </c>
    </row>
    <row r="376">
      <c r="A376" s="11" t="n"/>
      <c r="B376" s="11" t="n"/>
      <c r="C376" s="7" t="n"/>
      <c r="D376" s="11" t="n"/>
      <c r="E376" s="11" t="n"/>
      <c r="F376" s="11" t="n"/>
      <c r="G376" s="12" t="n"/>
      <c r="H376" s="11" t="n"/>
      <c r="I376" s="9" t="n"/>
      <c r="J376" s="9" t="n"/>
      <c r="K376" s="13">
        <f>IF(AND(H376="ja",J376="nee"),ROUND(37.5*G376/8,2),0)</f>
        <v/>
      </c>
      <c r="L376" s="9" t="n"/>
      <c r="M376" s="9" t="n"/>
      <c r="N376" s="11" t="n"/>
      <c r="O376" s="11">
        <f>IF(D376="","",IF(COUNTIFS($A$5:$A$404,A376,$D$5:$D$404,D376,$I$5:$I$404,"ja")=4,"compleet",COUNTIFS($A$5:$A$404,A376,$D$5:$D$404,D376,$I$5:$I$404,"ja")&amp;" van 4"))</f>
        <v/>
      </c>
    </row>
    <row r="377">
      <c r="A377" s="11" t="n"/>
      <c r="B377" s="11" t="n"/>
      <c r="C377" s="7" t="n"/>
      <c r="D377" s="11" t="n"/>
      <c r="E377" s="11" t="n"/>
      <c r="F377" s="11" t="n"/>
      <c r="G377" s="12" t="n"/>
      <c r="H377" s="11" t="n"/>
      <c r="I377" s="9" t="n"/>
      <c r="J377" s="9" t="n"/>
      <c r="K377" s="13">
        <f>IF(AND(H377="ja",J377="nee"),ROUND(37.5*G377/8,2),0)</f>
        <v/>
      </c>
      <c r="L377" s="9" t="n"/>
      <c r="M377" s="9" t="n"/>
      <c r="N377" s="11" t="n"/>
      <c r="O377" s="11">
        <f>IF(D377="","",IF(COUNTIFS($A$5:$A$404,A377,$D$5:$D$404,D377,$I$5:$I$404,"ja")=4,"compleet",COUNTIFS($A$5:$A$404,A377,$D$5:$D$404,D377,$I$5:$I$404,"ja")&amp;" van 4"))</f>
        <v/>
      </c>
    </row>
    <row r="378">
      <c r="A378" s="11" t="n"/>
      <c r="B378" s="11" t="n"/>
      <c r="C378" s="7" t="n"/>
      <c r="D378" s="11" t="n"/>
      <c r="E378" s="11" t="n"/>
      <c r="F378" s="11" t="n"/>
      <c r="G378" s="12" t="n"/>
      <c r="H378" s="11" t="n"/>
      <c r="I378" s="9" t="n"/>
      <c r="J378" s="9" t="n"/>
      <c r="K378" s="13">
        <f>IF(AND(H378="ja",J378="nee"),ROUND(37.5*G378/8,2),0)</f>
        <v/>
      </c>
      <c r="L378" s="9" t="n"/>
      <c r="M378" s="9" t="n"/>
      <c r="N378" s="11" t="n"/>
      <c r="O378" s="11">
        <f>IF(D378="","",IF(COUNTIFS($A$5:$A$404,A378,$D$5:$D$404,D378,$I$5:$I$404,"ja")=4,"compleet",COUNTIFS($A$5:$A$404,A378,$D$5:$D$404,D378,$I$5:$I$404,"ja")&amp;" van 4"))</f>
        <v/>
      </c>
    </row>
    <row r="379">
      <c r="A379" s="11" t="n"/>
      <c r="B379" s="11" t="n"/>
      <c r="C379" s="7" t="n"/>
      <c r="D379" s="11" t="n"/>
      <c r="E379" s="11" t="n"/>
      <c r="F379" s="11" t="n"/>
      <c r="G379" s="12" t="n"/>
      <c r="H379" s="11" t="n"/>
      <c r="I379" s="9" t="n"/>
      <c r="J379" s="9" t="n"/>
      <c r="K379" s="13">
        <f>IF(AND(H379="ja",J379="nee"),ROUND(37.5*G379/8,2),0)</f>
        <v/>
      </c>
      <c r="L379" s="9" t="n"/>
      <c r="M379" s="9" t="n"/>
      <c r="N379" s="11" t="n"/>
      <c r="O379" s="11">
        <f>IF(D379="","",IF(COUNTIFS($A$5:$A$404,A379,$D$5:$D$404,D379,$I$5:$I$404,"ja")=4,"compleet",COUNTIFS($A$5:$A$404,A379,$D$5:$D$404,D379,$I$5:$I$404,"ja")&amp;" van 4"))</f>
        <v/>
      </c>
    </row>
    <row r="380">
      <c r="A380" s="11" t="n"/>
      <c r="B380" s="11" t="n"/>
      <c r="C380" s="7" t="n"/>
      <c r="D380" s="11" t="n"/>
      <c r="E380" s="11" t="n"/>
      <c r="F380" s="11" t="n"/>
      <c r="G380" s="12" t="n"/>
      <c r="H380" s="11" t="n"/>
      <c r="I380" s="9" t="n"/>
      <c r="J380" s="9" t="n"/>
      <c r="K380" s="13">
        <f>IF(AND(H380="ja",J380="nee"),ROUND(37.5*G380/8,2),0)</f>
        <v/>
      </c>
      <c r="L380" s="9" t="n"/>
      <c r="M380" s="9" t="n"/>
      <c r="N380" s="11" t="n"/>
      <c r="O380" s="11">
        <f>IF(D380="","",IF(COUNTIFS($A$5:$A$404,A380,$D$5:$D$404,D380,$I$5:$I$404,"ja")=4,"compleet",COUNTIFS($A$5:$A$404,A380,$D$5:$D$404,D380,$I$5:$I$404,"ja")&amp;" van 4"))</f>
        <v/>
      </c>
    </row>
    <row r="381">
      <c r="A381" s="11" t="n"/>
      <c r="B381" s="11" t="n"/>
      <c r="C381" s="7" t="n"/>
      <c r="D381" s="11" t="n"/>
      <c r="E381" s="11" t="n"/>
      <c r="F381" s="11" t="n"/>
      <c r="G381" s="12" t="n"/>
      <c r="H381" s="11" t="n"/>
      <c r="I381" s="9" t="n"/>
      <c r="J381" s="9" t="n"/>
      <c r="K381" s="13">
        <f>IF(AND(H381="ja",J381="nee"),ROUND(37.5*G381/8,2),0)</f>
        <v/>
      </c>
      <c r="L381" s="9" t="n"/>
      <c r="M381" s="9" t="n"/>
      <c r="N381" s="11" t="n"/>
      <c r="O381" s="11">
        <f>IF(D381="","",IF(COUNTIFS($A$5:$A$404,A381,$D$5:$D$404,D381,$I$5:$I$404,"ja")=4,"compleet",COUNTIFS($A$5:$A$404,A381,$D$5:$D$404,D381,$I$5:$I$404,"ja")&amp;" van 4"))</f>
        <v/>
      </c>
    </row>
    <row r="382">
      <c r="A382" s="11" t="n"/>
      <c r="B382" s="11" t="n"/>
      <c r="C382" s="7" t="n"/>
      <c r="D382" s="11" t="n"/>
      <c r="E382" s="11" t="n"/>
      <c r="F382" s="11" t="n"/>
      <c r="G382" s="12" t="n"/>
      <c r="H382" s="11" t="n"/>
      <c r="I382" s="9" t="n"/>
      <c r="J382" s="9" t="n"/>
      <c r="K382" s="13">
        <f>IF(AND(H382="ja",J382="nee"),ROUND(37.5*G382/8,2),0)</f>
        <v/>
      </c>
      <c r="L382" s="9" t="n"/>
      <c r="M382" s="9" t="n"/>
      <c r="N382" s="11" t="n"/>
      <c r="O382" s="11">
        <f>IF(D382="","",IF(COUNTIFS($A$5:$A$404,A382,$D$5:$D$404,D382,$I$5:$I$404,"ja")=4,"compleet",COUNTIFS($A$5:$A$404,A382,$D$5:$D$404,D382,$I$5:$I$404,"ja")&amp;" van 4"))</f>
        <v/>
      </c>
    </row>
    <row r="383">
      <c r="A383" s="11" t="n"/>
      <c r="B383" s="11" t="n"/>
      <c r="C383" s="7" t="n"/>
      <c r="D383" s="11" t="n"/>
      <c r="E383" s="11" t="n"/>
      <c r="F383" s="11" t="n"/>
      <c r="G383" s="12" t="n"/>
      <c r="H383" s="11" t="n"/>
      <c r="I383" s="9" t="n"/>
      <c r="J383" s="9" t="n"/>
      <c r="K383" s="13">
        <f>IF(AND(H383="ja",J383="nee"),ROUND(37.5*G383/8,2),0)</f>
        <v/>
      </c>
      <c r="L383" s="9" t="n"/>
      <c r="M383" s="9" t="n"/>
      <c r="N383" s="11" t="n"/>
      <c r="O383" s="11">
        <f>IF(D383="","",IF(COUNTIFS($A$5:$A$404,A383,$D$5:$D$404,D383,$I$5:$I$404,"ja")=4,"compleet",COUNTIFS($A$5:$A$404,A383,$D$5:$D$404,D383,$I$5:$I$404,"ja")&amp;" van 4"))</f>
        <v/>
      </c>
    </row>
    <row r="384">
      <c r="A384" s="11" t="n"/>
      <c r="B384" s="11" t="n"/>
      <c r="C384" s="7" t="n"/>
      <c r="D384" s="11" t="n"/>
      <c r="E384" s="11" t="n"/>
      <c r="F384" s="11" t="n"/>
      <c r="G384" s="12" t="n"/>
      <c r="H384" s="11" t="n"/>
      <c r="I384" s="9" t="n"/>
      <c r="J384" s="9" t="n"/>
      <c r="K384" s="13">
        <f>IF(AND(H384="ja",J384="nee"),ROUND(37.5*G384/8,2),0)</f>
        <v/>
      </c>
      <c r="L384" s="9" t="n"/>
      <c r="M384" s="9" t="n"/>
      <c r="N384" s="11" t="n"/>
      <c r="O384" s="11">
        <f>IF(D384="","",IF(COUNTIFS($A$5:$A$404,A384,$D$5:$D$404,D384,$I$5:$I$404,"ja")=4,"compleet",COUNTIFS($A$5:$A$404,A384,$D$5:$D$404,D384,$I$5:$I$404,"ja")&amp;" van 4"))</f>
        <v/>
      </c>
    </row>
    <row r="385">
      <c r="A385" s="11" t="n"/>
      <c r="B385" s="11" t="n"/>
      <c r="C385" s="7" t="n"/>
      <c r="D385" s="11" t="n"/>
      <c r="E385" s="11" t="n"/>
      <c r="F385" s="11" t="n"/>
      <c r="G385" s="12" t="n"/>
      <c r="H385" s="11" t="n"/>
      <c r="I385" s="9" t="n"/>
      <c r="J385" s="9" t="n"/>
      <c r="K385" s="13">
        <f>IF(AND(H385="ja",J385="nee"),ROUND(37.5*G385/8,2),0)</f>
        <v/>
      </c>
      <c r="L385" s="9" t="n"/>
      <c r="M385" s="9" t="n"/>
      <c r="N385" s="11" t="n"/>
      <c r="O385" s="11">
        <f>IF(D385="","",IF(COUNTIFS($A$5:$A$404,A385,$D$5:$D$404,D385,$I$5:$I$404,"ja")=4,"compleet",COUNTIFS($A$5:$A$404,A385,$D$5:$D$404,D385,$I$5:$I$404,"ja")&amp;" van 4"))</f>
        <v/>
      </c>
    </row>
    <row r="386">
      <c r="A386" s="11" t="n"/>
      <c r="B386" s="11" t="n"/>
      <c r="C386" s="7" t="n"/>
      <c r="D386" s="11" t="n"/>
      <c r="E386" s="11" t="n"/>
      <c r="F386" s="11" t="n"/>
      <c r="G386" s="12" t="n"/>
      <c r="H386" s="11" t="n"/>
      <c r="I386" s="9" t="n"/>
      <c r="J386" s="9" t="n"/>
      <c r="K386" s="13">
        <f>IF(AND(H386="ja",J386="nee"),ROUND(37.5*G386/8,2),0)</f>
        <v/>
      </c>
      <c r="L386" s="9" t="n"/>
      <c r="M386" s="9" t="n"/>
      <c r="N386" s="11" t="n"/>
      <c r="O386" s="11">
        <f>IF(D386="","",IF(COUNTIFS($A$5:$A$404,A386,$D$5:$D$404,D386,$I$5:$I$404,"ja")=4,"compleet",COUNTIFS($A$5:$A$404,A386,$D$5:$D$404,D386,$I$5:$I$404,"ja")&amp;" van 4"))</f>
        <v/>
      </c>
    </row>
    <row r="387">
      <c r="A387" s="11" t="n"/>
      <c r="B387" s="11" t="n"/>
      <c r="C387" s="7" t="n"/>
      <c r="D387" s="11" t="n"/>
      <c r="E387" s="11" t="n"/>
      <c r="F387" s="11" t="n"/>
      <c r="G387" s="12" t="n"/>
      <c r="H387" s="11" t="n"/>
      <c r="I387" s="9" t="n"/>
      <c r="J387" s="9" t="n"/>
      <c r="K387" s="13">
        <f>IF(AND(H387="ja",J387="nee"),ROUND(37.5*G387/8,2),0)</f>
        <v/>
      </c>
      <c r="L387" s="9" t="n"/>
      <c r="M387" s="9" t="n"/>
      <c r="N387" s="11" t="n"/>
      <c r="O387" s="11">
        <f>IF(D387="","",IF(COUNTIFS($A$5:$A$404,A387,$D$5:$D$404,D387,$I$5:$I$404,"ja")=4,"compleet",COUNTIFS($A$5:$A$404,A387,$D$5:$D$404,D387,$I$5:$I$404,"ja")&amp;" van 4"))</f>
        <v/>
      </c>
    </row>
    <row r="388">
      <c r="A388" s="11" t="n"/>
      <c r="B388" s="11" t="n"/>
      <c r="C388" s="7" t="n"/>
      <c r="D388" s="11" t="n"/>
      <c r="E388" s="11" t="n"/>
      <c r="F388" s="11" t="n"/>
      <c r="G388" s="12" t="n"/>
      <c r="H388" s="11" t="n"/>
      <c r="I388" s="9" t="n"/>
      <c r="J388" s="9" t="n"/>
      <c r="K388" s="13">
        <f>IF(AND(H388="ja",J388="nee"),ROUND(37.5*G388/8,2),0)</f>
        <v/>
      </c>
      <c r="L388" s="9" t="n"/>
      <c r="M388" s="9" t="n"/>
      <c r="N388" s="11" t="n"/>
      <c r="O388" s="11">
        <f>IF(D388="","",IF(COUNTIFS($A$5:$A$404,A388,$D$5:$D$404,D388,$I$5:$I$404,"ja")=4,"compleet",COUNTIFS($A$5:$A$404,A388,$D$5:$D$404,D388,$I$5:$I$404,"ja")&amp;" van 4"))</f>
        <v/>
      </c>
    </row>
    <row r="389">
      <c r="A389" s="11" t="n"/>
      <c r="B389" s="11" t="n"/>
      <c r="C389" s="7" t="n"/>
      <c r="D389" s="11" t="n"/>
      <c r="E389" s="11" t="n"/>
      <c r="F389" s="11" t="n"/>
      <c r="G389" s="12" t="n"/>
      <c r="H389" s="11" t="n"/>
      <c r="I389" s="9" t="n"/>
      <c r="J389" s="9" t="n"/>
      <c r="K389" s="13">
        <f>IF(AND(H389="ja",J389="nee"),ROUND(37.5*G389/8,2),0)</f>
        <v/>
      </c>
      <c r="L389" s="9" t="n"/>
      <c r="M389" s="9" t="n"/>
      <c r="N389" s="11" t="n"/>
      <c r="O389" s="11">
        <f>IF(D389="","",IF(COUNTIFS($A$5:$A$404,A389,$D$5:$D$404,D389,$I$5:$I$404,"ja")=4,"compleet",COUNTIFS($A$5:$A$404,A389,$D$5:$D$404,D389,$I$5:$I$404,"ja")&amp;" van 4"))</f>
        <v/>
      </c>
    </row>
    <row r="390">
      <c r="A390" s="11" t="n"/>
      <c r="B390" s="11" t="n"/>
      <c r="C390" s="7" t="n"/>
      <c r="D390" s="11" t="n"/>
      <c r="E390" s="11" t="n"/>
      <c r="F390" s="11" t="n"/>
      <c r="G390" s="12" t="n"/>
      <c r="H390" s="11" t="n"/>
      <c r="I390" s="9" t="n"/>
      <c r="J390" s="9" t="n"/>
      <c r="K390" s="13">
        <f>IF(AND(H390="ja",J390="nee"),ROUND(37.5*G390/8,2),0)</f>
        <v/>
      </c>
      <c r="L390" s="9" t="n"/>
      <c r="M390" s="9" t="n"/>
      <c r="N390" s="11" t="n"/>
      <c r="O390" s="11">
        <f>IF(D390="","",IF(COUNTIFS($A$5:$A$404,A390,$D$5:$D$404,D390,$I$5:$I$404,"ja")=4,"compleet",COUNTIFS($A$5:$A$404,A390,$D$5:$D$404,D390,$I$5:$I$404,"ja")&amp;" van 4"))</f>
        <v/>
      </c>
    </row>
    <row r="391">
      <c r="A391" s="11" t="n"/>
      <c r="B391" s="11" t="n"/>
      <c r="C391" s="7" t="n"/>
      <c r="D391" s="11" t="n"/>
      <c r="E391" s="11" t="n"/>
      <c r="F391" s="11" t="n"/>
      <c r="G391" s="12" t="n"/>
      <c r="H391" s="11" t="n"/>
      <c r="I391" s="9" t="n"/>
      <c r="J391" s="9" t="n"/>
      <c r="K391" s="13">
        <f>IF(AND(H391="ja",J391="nee"),ROUND(37.5*G391/8,2),0)</f>
        <v/>
      </c>
      <c r="L391" s="9" t="n"/>
      <c r="M391" s="9" t="n"/>
      <c r="N391" s="11" t="n"/>
      <c r="O391" s="11">
        <f>IF(D391="","",IF(COUNTIFS($A$5:$A$404,A391,$D$5:$D$404,D391,$I$5:$I$404,"ja")=4,"compleet",COUNTIFS($A$5:$A$404,A391,$D$5:$D$404,D391,$I$5:$I$404,"ja")&amp;" van 4"))</f>
        <v/>
      </c>
    </row>
    <row r="392">
      <c r="A392" s="11" t="n"/>
      <c r="B392" s="11" t="n"/>
      <c r="C392" s="7" t="n"/>
      <c r="D392" s="11" t="n"/>
      <c r="E392" s="11" t="n"/>
      <c r="F392" s="11" t="n"/>
      <c r="G392" s="12" t="n"/>
      <c r="H392" s="11" t="n"/>
      <c r="I392" s="9" t="n"/>
      <c r="J392" s="9" t="n"/>
      <c r="K392" s="13">
        <f>IF(AND(H392="ja",J392="nee"),ROUND(37.5*G392/8,2),0)</f>
        <v/>
      </c>
      <c r="L392" s="9" t="n"/>
      <c r="M392" s="9" t="n"/>
      <c r="N392" s="11" t="n"/>
      <c r="O392" s="11">
        <f>IF(D392="","",IF(COUNTIFS($A$5:$A$404,A392,$D$5:$D$404,D392,$I$5:$I$404,"ja")=4,"compleet",COUNTIFS($A$5:$A$404,A392,$D$5:$D$404,D392,$I$5:$I$404,"ja")&amp;" van 4"))</f>
        <v/>
      </c>
    </row>
    <row r="393">
      <c r="A393" s="11" t="n"/>
      <c r="B393" s="11" t="n"/>
      <c r="C393" s="7" t="n"/>
      <c r="D393" s="11" t="n"/>
      <c r="E393" s="11" t="n"/>
      <c r="F393" s="11" t="n"/>
      <c r="G393" s="12" t="n"/>
      <c r="H393" s="11" t="n"/>
      <c r="I393" s="9" t="n"/>
      <c r="J393" s="9" t="n"/>
      <c r="K393" s="13">
        <f>IF(AND(H393="ja",J393="nee"),ROUND(37.5*G393/8,2),0)</f>
        <v/>
      </c>
      <c r="L393" s="9" t="n"/>
      <c r="M393" s="9" t="n"/>
      <c r="N393" s="11" t="n"/>
      <c r="O393" s="11">
        <f>IF(D393="","",IF(COUNTIFS($A$5:$A$404,A393,$D$5:$D$404,D393,$I$5:$I$404,"ja")=4,"compleet",COUNTIFS($A$5:$A$404,A393,$D$5:$D$404,D393,$I$5:$I$404,"ja")&amp;" van 4"))</f>
        <v/>
      </c>
    </row>
    <row r="394">
      <c r="A394" s="11" t="n"/>
      <c r="B394" s="11" t="n"/>
      <c r="C394" s="7" t="n"/>
      <c r="D394" s="11" t="n"/>
      <c r="E394" s="11" t="n"/>
      <c r="F394" s="11" t="n"/>
      <c r="G394" s="12" t="n"/>
      <c r="H394" s="11" t="n"/>
      <c r="I394" s="9" t="n"/>
      <c r="J394" s="9" t="n"/>
      <c r="K394" s="13">
        <f>IF(AND(H394="ja",J394="nee"),ROUND(37.5*G394/8,2),0)</f>
        <v/>
      </c>
      <c r="L394" s="9" t="n"/>
      <c r="M394" s="9" t="n"/>
      <c r="N394" s="11" t="n"/>
      <c r="O394" s="11">
        <f>IF(D394="","",IF(COUNTIFS($A$5:$A$404,A394,$D$5:$D$404,D394,$I$5:$I$404,"ja")=4,"compleet",COUNTIFS($A$5:$A$404,A394,$D$5:$D$404,D394,$I$5:$I$404,"ja")&amp;" van 4"))</f>
        <v/>
      </c>
    </row>
    <row r="395">
      <c r="A395" s="11" t="n"/>
      <c r="B395" s="11" t="n"/>
      <c r="C395" s="7" t="n"/>
      <c r="D395" s="11" t="n"/>
      <c r="E395" s="11" t="n"/>
      <c r="F395" s="11" t="n"/>
      <c r="G395" s="12" t="n"/>
      <c r="H395" s="11" t="n"/>
      <c r="I395" s="9" t="n"/>
      <c r="J395" s="9" t="n"/>
      <c r="K395" s="13">
        <f>IF(AND(H395="ja",J395="nee"),ROUND(37.5*G395/8,2),0)</f>
        <v/>
      </c>
      <c r="L395" s="9" t="n"/>
      <c r="M395" s="9" t="n"/>
      <c r="N395" s="11" t="n"/>
      <c r="O395" s="11">
        <f>IF(D395="","",IF(COUNTIFS($A$5:$A$404,A395,$D$5:$D$404,D395,$I$5:$I$404,"ja")=4,"compleet",COUNTIFS($A$5:$A$404,A395,$D$5:$D$404,D395,$I$5:$I$404,"ja")&amp;" van 4"))</f>
        <v/>
      </c>
    </row>
    <row r="396">
      <c r="A396" s="11" t="n"/>
      <c r="B396" s="11" t="n"/>
      <c r="C396" s="7" t="n"/>
      <c r="D396" s="11" t="n"/>
      <c r="E396" s="11" t="n"/>
      <c r="F396" s="11" t="n"/>
      <c r="G396" s="12" t="n"/>
      <c r="H396" s="11" t="n"/>
      <c r="I396" s="9" t="n"/>
      <c r="J396" s="9" t="n"/>
      <c r="K396" s="13">
        <f>IF(AND(H396="ja",J396="nee"),ROUND(37.5*G396/8,2),0)</f>
        <v/>
      </c>
      <c r="L396" s="9" t="n"/>
      <c r="M396" s="9" t="n"/>
      <c r="N396" s="11" t="n"/>
      <c r="O396" s="11">
        <f>IF(D396="","",IF(COUNTIFS($A$5:$A$404,A396,$D$5:$D$404,D396,$I$5:$I$404,"ja")=4,"compleet",COUNTIFS($A$5:$A$404,A396,$D$5:$D$404,D396,$I$5:$I$404,"ja")&amp;" van 4"))</f>
        <v/>
      </c>
    </row>
    <row r="397">
      <c r="A397" s="11" t="n"/>
      <c r="B397" s="11" t="n"/>
      <c r="C397" s="7" t="n"/>
      <c r="D397" s="11" t="n"/>
      <c r="E397" s="11" t="n"/>
      <c r="F397" s="11" t="n"/>
      <c r="G397" s="12" t="n"/>
      <c r="H397" s="11" t="n"/>
      <c r="I397" s="9" t="n"/>
      <c r="J397" s="9" t="n"/>
      <c r="K397" s="13">
        <f>IF(AND(H397="ja",J397="nee"),ROUND(37.5*G397/8,2),0)</f>
        <v/>
      </c>
      <c r="L397" s="9" t="n"/>
      <c r="M397" s="9" t="n"/>
      <c r="N397" s="11" t="n"/>
      <c r="O397" s="11">
        <f>IF(D397="","",IF(COUNTIFS($A$5:$A$404,A397,$D$5:$D$404,D397,$I$5:$I$404,"ja")=4,"compleet",COUNTIFS($A$5:$A$404,A397,$D$5:$D$404,D397,$I$5:$I$404,"ja")&amp;" van 4"))</f>
        <v/>
      </c>
    </row>
    <row r="398">
      <c r="A398" s="11" t="n"/>
      <c r="B398" s="11" t="n"/>
      <c r="C398" s="7" t="n"/>
      <c r="D398" s="11" t="n"/>
      <c r="E398" s="11" t="n"/>
      <c r="F398" s="11" t="n"/>
      <c r="G398" s="12" t="n"/>
      <c r="H398" s="11" t="n"/>
      <c r="I398" s="9" t="n"/>
      <c r="J398" s="9" t="n"/>
      <c r="K398" s="13">
        <f>IF(AND(H398="ja",J398="nee"),ROUND(37.5*G398/8,2),0)</f>
        <v/>
      </c>
      <c r="L398" s="9" t="n"/>
      <c r="M398" s="9" t="n"/>
      <c r="N398" s="11" t="n"/>
      <c r="O398" s="11">
        <f>IF(D398="","",IF(COUNTIFS($A$5:$A$404,A398,$D$5:$D$404,D398,$I$5:$I$404,"ja")=4,"compleet",COUNTIFS($A$5:$A$404,A398,$D$5:$D$404,D398,$I$5:$I$404,"ja")&amp;" van 4"))</f>
        <v/>
      </c>
    </row>
    <row r="399">
      <c r="A399" s="11" t="n"/>
      <c r="B399" s="11" t="n"/>
      <c r="C399" s="7" t="n"/>
      <c r="D399" s="11" t="n"/>
      <c r="E399" s="11" t="n"/>
      <c r="F399" s="11" t="n"/>
      <c r="G399" s="12" t="n"/>
      <c r="H399" s="11" t="n"/>
      <c r="I399" s="9" t="n"/>
      <c r="J399" s="9" t="n"/>
      <c r="K399" s="13">
        <f>IF(AND(H399="ja",J399="nee"),ROUND(37.5*G399/8,2),0)</f>
        <v/>
      </c>
      <c r="L399" s="9" t="n"/>
      <c r="M399" s="9" t="n"/>
      <c r="N399" s="11" t="n"/>
      <c r="O399" s="11">
        <f>IF(D399="","",IF(COUNTIFS($A$5:$A$404,A399,$D$5:$D$404,D399,$I$5:$I$404,"ja")=4,"compleet",COUNTIFS($A$5:$A$404,A399,$D$5:$D$404,D399,$I$5:$I$404,"ja")&amp;" van 4"))</f>
        <v/>
      </c>
    </row>
    <row r="400">
      <c r="A400" s="11" t="n"/>
      <c r="B400" s="11" t="n"/>
      <c r="C400" s="7" t="n"/>
      <c r="D400" s="11" t="n"/>
      <c r="E400" s="11" t="n"/>
      <c r="F400" s="11" t="n"/>
      <c r="G400" s="12" t="n"/>
      <c r="H400" s="11" t="n"/>
      <c r="I400" s="9" t="n"/>
      <c r="J400" s="9" t="n"/>
      <c r="K400" s="13">
        <f>IF(AND(H400="ja",J400="nee"),ROUND(37.5*G400/8,2),0)</f>
        <v/>
      </c>
      <c r="L400" s="9" t="n"/>
      <c r="M400" s="9" t="n"/>
      <c r="N400" s="11" t="n"/>
      <c r="O400" s="11">
        <f>IF(D400="","",IF(COUNTIFS($A$5:$A$404,A400,$D$5:$D$404,D400,$I$5:$I$404,"ja")=4,"compleet",COUNTIFS($A$5:$A$404,A400,$D$5:$D$404,D400,$I$5:$I$404,"ja")&amp;" van 4"))</f>
        <v/>
      </c>
    </row>
    <row r="401">
      <c r="A401" s="11" t="n"/>
      <c r="B401" s="11" t="n"/>
      <c r="C401" s="7" t="n"/>
      <c r="D401" s="11" t="n"/>
      <c r="E401" s="11" t="n"/>
      <c r="F401" s="11" t="n"/>
      <c r="G401" s="12" t="n"/>
      <c r="H401" s="11" t="n"/>
      <c r="I401" s="9" t="n"/>
      <c r="J401" s="9" t="n"/>
      <c r="K401" s="13">
        <f>IF(AND(H401="ja",J401="nee"),ROUND(37.5*G401/8,2),0)</f>
        <v/>
      </c>
      <c r="L401" s="9" t="n"/>
      <c r="M401" s="9" t="n"/>
      <c r="N401" s="11" t="n"/>
      <c r="O401" s="11">
        <f>IF(D401="","",IF(COUNTIFS($A$5:$A$404,A401,$D$5:$D$404,D401,$I$5:$I$404,"ja")=4,"compleet",COUNTIFS($A$5:$A$404,A401,$D$5:$D$404,D401,$I$5:$I$404,"ja")&amp;" van 4"))</f>
        <v/>
      </c>
    </row>
    <row r="402">
      <c r="A402" s="11" t="n"/>
      <c r="B402" s="11" t="n"/>
      <c r="C402" s="7" t="n"/>
      <c r="D402" s="11" t="n"/>
      <c r="E402" s="11" t="n"/>
      <c r="F402" s="11" t="n"/>
      <c r="G402" s="12" t="n"/>
      <c r="H402" s="11" t="n"/>
      <c r="I402" s="9" t="n"/>
      <c r="J402" s="9" t="n"/>
      <c r="K402" s="13">
        <f>IF(AND(H402="ja",J402="nee"),ROUND(37.5*G402/8,2),0)</f>
        <v/>
      </c>
      <c r="L402" s="9" t="n"/>
      <c r="M402" s="9" t="n"/>
      <c r="N402" s="11" t="n"/>
      <c r="O402" s="11">
        <f>IF(D402="","",IF(COUNTIFS($A$5:$A$404,A402,$D$5:$D$404,D402,$I$5:$I$404,"ja")=4,"compleet",COUNTIFS($A$5:$A$404,A402,$D$5:$D$404,D402,$I$5:$I$404,"ja")&amp;" van 4"))</f>
        <v/>
      </c>
    </row>
    <row r="403">
      <c r="A403" s="11" t="n"/>
      <c r="B403" s="11" t="n"/>
      <c r="C403" s="7" t="n"/>
      <c r="D403" s="11" t="n"/>
      <c r="E403" s="11" t="n"/>
      <c r="F403" s="11" t="n"/>
      <c r="G403" s="12" t="n"/>
      <c r="H403" s="11" t="n"/>
      <c r="I403" s="9" t="n"/>
      <c r="J403" s="9" t="n"/>
      <c r="K403" s="13">
        <f>IF(AND(H403="ja",J403="nee"),ROUND(37.5*G403/8,2),0)</f>
        <v/>
      </c>
      <c r="L403" s="9" t="n"/>
      <c r="M403" s="9" t="n"/>
      <c r="N403" s="11" t="n"/>
      <c r="O403" s="11">
        <f>IF(D403="","",IF(COUNTIFS($A$5:$A$404,A403,$D$5:$D$404,D403,$I$5:$I$404,"ja")=4,"compleet",COUNTIFS($A$5:$A$404,A403,$D$5:$D$404,D403,$I$5:$I$404,"ja")&amp;" van 4"))</f>
        <v/>
      </c>
    </row>
    <row r="404">
      <c r="A404" s="11" t="n"/>
      <c r="B404" s="11" t="n"/>
      <c r="C404" s="7" t="n"/>
      <c r="D404" s="11" t="n"/>
      <c r="E404" s="11" t="n"/>
      <c r="F404" s="11" t="n"/>
      <c r="G404" s="12" t="n"/>
      <c r="H404" s="11" t="n"/>
      <c r="I404" s="9" t="n"/>
      <c r="J404" s="9" t="n"/>
      <c r="K404" s="13">
        <f>IF(AND(H404="ja",J404="nee"),ROUND(37.5*G404/8,2),0)</f>
        <v/>
      </c>
      <c r="L404" s="9" t="n"/>
      <c r="M404" s="9" t="n"/>
      <c r="N404" s="11" t="n"/>
      <c r="O404" s="11">
        <f>IF(D404="","",IF(COUNTIFS($A$5:$A$404,A404,$D$5:$D$404,D404,$I$5:$I$404,"ja")=4,"compleet",COUNTIFS($A$5:$A$404,A404,$D$5:$D$404,D404,$I$5:$I$404,"ja")&amp;" van 4"))</f>
        <v/>
      </c>
    </row>
  </sheetData>
  <autoFilter ref="A4:O404"/>
  <conditionalFormatting sqref="J5:K404">
    <cfRule type="expression" priority="1" dxfId="0">
      <formula>AND($H5="ja",$J5="nee")</formula>
    </cfRule>
  </conditionalFormatting>
  <conditionalFormatting sqref="I5:I404">
    <cfRule type="expression" priority="2" dxfId="1">
      <formula>$I5="ja"</formula>
    </cfRule>
  </conditionalFormatting>
  <conditionalFormatting sqref="O5:O404">
    <cfRule type="expression" priority="3" dxfId="1">
      <formula>$O5="compleet"</formula>
    </cfRule>
  </conditionalFormatting>
  <dataValidations count="4">
    <dataValidation sqref="H5:H404" showDropDown="0" showInputMessage="0" showErrorMessage="0" allowBlank="1" type="list">
      <formula1>"ja,nee"</formula1>
    </dataValidation>
    <dataValidation sqref="I5:I404" showDropDown="0" showInputMessage="0" showErrorMessage="0" allowBlank="1" type="list">
      <formula1>"ja,nee"</formula1>
    </dataValidation>
    <dataValidation sqref="J5:J404" showDropDown="0" showInputMessage="0" showErrorMessage="0" allowBlank="1" type="list">
      <formula1>"ja,nee"</formula1>
    </dataValidation>
    <dataValidation sqref="L5:L404" showDropDown="0" showInputMessage="0" showErrorMessage="0" allowBlank="1" type="list">
      <formula1>"Tikkie,Pin,Contant"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Halloween check-in: zo werkt het</t>
        </is>
      </c>
    </row>
    <row r="2">
      <c r="A2" s="14" t="inlineStr">
        <is>
          <t>Zaterdag 31 oktober 2026, 16:00 tot 23:00, bij Poort Padel. Spelers komen 10 minuten voor hun begintijd.</t>
        </is>
      </c>
    </row>
    <row r="3">
      <c r="A3" s="14" t="inlineStr"/>
    </row>
    <row r="4">
      <c r="A4" s="14" t="inlineStr">
        <is>
          <t>1. Sorteer of filter op Starttijd. Elke boeking heeft 4 regels, één per speler.</t>
        </is>
      </c>
    </row>
    <row r="5">
      <c r="A5" s="14" t="inlineStr">
        <is>
          <t>2. Vraag de naam van de boeker en zoek de regels op.</t>
        </is>
      </c>
    </row>
    <row r="6">
      <c r="A6" s="14" t="inlineStr">
        <is>
          <t>3. Zet per speler Aanwezig op "ja". Kolom Groep compleet laat zien of alle vier er zijn ("compleet" of bijvoorbeeld "3 van 4").</t>
        </is>
      </c>
    </row>
    <row r="7">
      <c r="A7" s="14" t="inlineStr">
        <is>
          <t xml:space="preserve">   Nog niet compleet? Laat ze wachten tot de vierde er is, uiterlijk tot de begintijd. Pas als de groep compleet is, gaan ze naar de baan.</t>
        </is>
      </c>
    </row>
    <row r="8">
      <c r="A8" s="14" t="inlineStr">
        <is>
          <t>4. Kijk per speler: echt verkleed of geschminkt? Zet Echt verkleed? op "ja" of "nee".</t>
        </is>
      </c>
    </row>
    <row r="9">
      <c r="A9" s="14" t="inlineStr">
        <is>
          <t xml:space="preserve">   Telt WEL: volledig kostuum, schmink of facepaint over het hele gezicht, masker met kostuum.</t>
        </is>
      </c>
    </row>
    <row r="10">
      <c r="A10" s="14" t="inlineStr">
        <is>
          <t xml:space="preserve">   Telt NIET: alleen een hoedje of oortjes, een gewoon shirt met print, twee streepjes schmink.</t>
        </is>
      </c>
    </row>
    <row r="11">
      <c r="A11" s="14" t="inlineStr">
        <is>
          <t>5. Wordt de cel oranje? Dan heeft die speler korting betaald maar is hij of zij niet echt verkleed.</t>
        </is>
      </c>
    </row>
    <row r="12">
      <c r="A12" s="14" t="inlineStr">
        <is>
          <t xml:space="preserve">   Bij te betalen staat in kolom K (1 uur: €4,69 · 1,5 uur: €7,03 · 2 uur: €9,38). Laat dat ter plekke bijbetalen en vul Bijbetaald via in.</t>
        </is>
      </c>
    </row>
    <row r="13">
      <c r="A13" s="14" t="inlineStr">
        <is>
          <t>6. Pas nu noem je het baannummer (kolom Baan). De spelers weten dat van tevoren niet. Wens ze een griezelige wedstrijd.</t>
        </is>
      </c>
    </row>
    <row r="14">
      <c r="A14" s="14" t="inlineStr"/>
    </row>
    <row r="15">
      <c r="A15" s="14" t="inlineStr">
        <is>
          <t>Twijfel over een kostuum? Kies voor de speler, het is een feestje. Mooie outfits: maak een foto voor Instagram (vraag eerst even of het mag).</t>
        </is>
      </c>
    </row>
    <row r="16">
      <c r="A16" s="14" t="inlineStr">
        <is>
          <t>Staat iemand niet op de lijst? Kijk in Mollie (Betalingen, zoek op naam) of in Netlify Forms (halloween-boeking). Niet betaald = gewoon tarief via Poort Padel.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2026-10-14T11:46:26Z</dcterms:created>
  <dcterms:modified xsi:type="dcterms:W3CDTF">2026-10-14T11:46:26Z</dcterms:modified>
</cp:coreProperties>
</file>