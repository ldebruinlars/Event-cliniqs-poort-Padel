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xicano" sheetId="1" state="visible" r:id="rId3"/>
    <sheet name="Quiz" sheetId="2" state="visible" r:id="rId4"/>
    <sheet name="Vouchers" sheetId="3" state="visible" r:id="rId5"/>
    <sheet name="Regels k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<sst xmlns="http://schemas.openxmlformats.org/spreadsheetml/2006/main" count="123" uniqueCount="101">
  <si>
    <t xml:space="preserve">Padel &amp; Quiz – Mexicano-ranglijst (rallypunten per ronde, individueel)</t>
  </si>
  <si>
    <t xml:space="preserve">Blauw = invullen. Vul per speler de rallypunten van ronde 1 t/m 6 in (of laat de app het doen en neem het totaal over). Rang, dames- en herenrang en de prijzen rekenen zichzelf uit.</t>
  </si>
  <si>
    <t xml:space="preserve">Nr</t>
  </si>
  <si>
    <t xml:space="preserve">Naam</t>
  </si>
  <si>
    <t xml:space="preserve">M/V</t>
  </si>
  <si>
    <t xml:space="preserve">Team (inschrijving)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</si>
  <si>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</si>
  <si>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</si>
  <si>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</si>
  <si>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</si>
  <si>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</si>
  <si>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</si>
  <si>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Totaal</t>
  </si>
  <si>
    <t xml:space="preserve">Laatste ronde</t>
  </si>
  <si>
    <t xml:space="preserve">Rang</t>
  </si>
  <si>
    <t xml:space="preserve">Rang M/V</t>
  </si>
  <si>
    <t xml:space="preserve">Prijs</t>
  </si>
  <si>
    <t xml:space="preserve">Regels</t>
  </si>
  <si>
    <t xml:space="preserve">Rallypunten: elke gewonnen rally is 1 punt voor beide spelers van het koppel. 13 minuten of 24 punten per ronde.</t>
  </si>
  <si>
    <t xml:space="preserve">Rang: totaal punten; gelijk = meeste punten in de laatste ronde (kolom L); nog gelijk = één beslissende rally, pas dan handmatig aan.</t>
  </si>
  <si>
    <t xml:space="preserve">Padelkoning/-koningin = rang 1 bij M en bij V. Nummer 2 en 3 padel = de eerstvolgende twee van de totale lijst zonder de koning en koningin (kolom O rekent dit uit).</t>
  </si>
  <si>
    <t xml:space="preserve">Sportiviteitsprijs: kies zelf, noteer hieronder.</t>
  </si>
  <si>
    <t xml:space="preserve">Sportiviteitsprijs:</t>
  </si>
  <si>
    <t xml:space="preserve">Padel &amp; Quiz – scorebord quiz (6 rondes, joker, wipeout, jackpot, tiebreak)</t>
  </si>
  <si>
    <t xml:space="preserve">Blauw = invullen. Joker = rondenummer 1 t/m 5 (die ronde telt dubbel). R6 = wipeout: vul het aantal goede antwoorden in, en 'Fout in R6' = 1 als er minstens één fout antwoord bij zat (dan telt R6 als 0). 8 goed zonder fout = 8 + 4 bonus.</t>
  </si>
  <si>
    <t xml:space="preserve">Tiebreak-antwoord:</t>
  </si>
  <si>
    <t xml:space="preserve">Tafel</t>
  </si>
  <si>
    <t xml:space="preserve">Teamnaam</t>
  </si>
  <si>
    <t xml:space="preserve">Joker (1-5)</t>
  </si>
  <si>
    <t xml:space="preserve">R2 beeld</t>
  </si>
  <si>
    <t xml:space="preserve">R3 muziek</t>
  </si>
  <si>
    <t xml:space="preserve">R5 (max 10)</t>
  </si>
  <si>
    <t xml:space="preserve">R6 goed</t>
  </si>
  <si>
    <t xml:space="preserve">Fout in R6</t>
  </si>
  <si>
    <t xml:space="preserve">R6 score</t>
  </si>
  <si>
    <t xml:space="preserve">Tiebreak schatting</t>
  </si>
  <si>
    <t xml:space="preserve">Afstand tot antwoord</t>
  </si>
  <si>
    <t xml:space="preserve">Jackpot goed (1/0)</t>
  </si>
  <si>
    <t xml:space="preserve">Volgorde inleveren R2</t>
  </si>
  <si>
    <t xml:space="preserve">Volgorde inleveren R3</t>
  </si>
  <si>
    <t xml:space="preserve">Jackpot-uren nu:</t>
  </si>
  <si>
    <t xml:space="preserve">hulp jackpot</t>
  </si>
  <si>
    <t xml:space="preserve">hulp R2</t>
  </si>
  <si>
    <t xml:space="preserve">hulp R3</t>
  </si>
  <si>
    <t xml:space="preserve">Rondeprijzen</t>
  </si>
  <si>
    <t xml:space="preserve">Beeldronde (R2): hoogste score, gelijk = eerst ingeleverd</t>
  </si>
  <si>
    <t xml:space="preserve">Muziekronde (R3): hoogste score, gelijk = eerst ingeleverd</t>
  </si>
  <si>
    <t xml:space="preserve">Jackpot: als geen enkel team 1 heeft bij 'Jackpot goed', rollover: volgende editie +1 uur (cel V4 aanpassen).</t>
  </si>
  <si>
    <t xml:space="preserve">Snelste tafel en beste teamnaam worden live bepaald (briefjes, applaus) en hier alleen genoteerd:</t>
  </si>
  <si>
    <t xml:space="preserve">Snelste tafel:</t>
  </si>
  <si>
    <t xml:space="preserve">Beste teamnaam:</t>
  </si>
  <si>
    <t xml:space="preserve">Vouchers en prijzen – uitgifte en inwisseling (lijst voor de bar van Poort Padel)</t>
  </si>
  <si>
    <t xml:space="preserve">Wat</t>
  </si>
  <si>
    <t xml:space="preserve">Winnaar (naam)</t>
  </si>
  <si>
    <t xml:space="preserve">Team</t>
  </si>
  <si>
    <t xml:space="preserve">Uitgegeven op</t>
  </si>
  <si>
    <t xml:space="preserve">Geldig tot</t>
  </si>
  <si>
    <t xml:space="preserve">Ingewisseld op</t>
  </si>
  <si>
    <t xml:space="preserve">Paraaf bar</t>
  </si>
  <si>
    <t xml:space="preserve">Quizkampioenen</t>
  </si>
  <si>
    <t xml:space="preserve">Baanuur 1 van 2 (team)</t>
  </si>
  <si>
    <t xml:space="preserve">Baanuur 2 van 2 (team)</t>
  </si>
  <si>
    <t xml:space="preserve">Teamschotel 25 st</t>
  </si>
  <si>
    <t xml:space="preserve">Rondje van 4</t>
  </si>
  <si>
    <t xml:space="preserve">Nummer 2 quiz</t>
  </si>
  <si>
    <t xml:space="preserve">Baanuur (team)</t>
  </si>
  <si>
    <t xml:space="preserve">Nummer 3 quiz</t>
  </si>
  <si>
    <t xml:space="preserve">Bitterballen 8 st</t>
  </si>
  <si>
    <t xml:space="preserve">Padelkoning</t>
  </si>
  <si>
    <t xml:space="preserve">Baanuur</t>
  </si>
  <si>
    <t xml:space="preserve">Blik ballen</t>
  </si>
  <si>
    <t xml:space="preserve">Padelkoningin</t>
  </si>
  <si>
    <t xml:space="preserve">Nummer 2 padel</t>
  </si>
  <si>
    <t xml:space="preserve">Blik ballen + set grips</t>
  </si>
  <si>
    <t xml:space="preserve">Nummer 3 padel</t>
  </si>
  <si>
    <t xml:space="preserve">Rondewinnaar beeld</t>
  </si>
  <si>
    <t xml:space="preserve">Rondewinnaar muziek</t>
  </si>
  <si>
    <t xml:space="preserve">Snelste tafel</t>
  </si>
  <si>
    <t xml:space="preserve">Wipeout-bonus</t>
  </si>
  <si>
    <t xml:space="preserve">Bitterballen 8 st per team</t>
  </si>
  <si>
    <t xml:space="preserve">Jackpot</t>
  </si>
  <si>
    <t xml:space="preserve">2 uur baan (team)</t>
  </si>
  <si>
    <t xml:space="preserve">Beste teamnaam</t>
  </si>
  <si>
    <t xml:space="preserve">4 koffie/thee/fris</t>
  </si>
  <si>
    <t xml:space="preserve">Poedelprijs</t>
  </si>
  <si>
    <t xml:space="preserve">Pollepel, drop, water, losse les ACA</t>
  </si>
  <si>
    <t xml:space="preserve">Sportiviteit</t>
  </si>
  <si>
    <t xml:space="preserve">1 drankje</t>
  </si>
  <si>
    <t xml:space="preserve">Voorwaarden baanvoucher: 1 uur dubbelbaan voor 4 spelers, boeken via de bar, geldig ma t/m vr 07:00–17:00 of za/zo na 14:00, 3 maanden geldig, niet inwisselbaar voor geld, één voucher per boeking.</t>
  </si>
  <si>
    <t xml:space="preserve">Regels in het kort</t>
  </si>
  <si>
    <t xml:space="preserve">1. Teams van 4, maximaal 5. Teamnaam op de teamkaart.</t>
  </si>
  <si>
    <t xml:space="preserve">2. 6 rondes van 8 vragen. 1 punt per goed antwoord, halve punten alleen bij muziek.</t>
  </si>
  <si>
    <t xml:space="preserve">3. Joker: één ronde uit 1 t/m 5 telt dubbel. Vooraf inleveren. Niet op de wipeout.</t>
  </si>
  <si>
    <t xml:space="preserve">4. Ronde 6 wipeout: openlaten mag, één fout is nul, 8 goed is 8 + 4 bonus.</t>
  </si>
  <si>
    <t xml:space="preserve">5. Vellen ophalen vóór de antwoorden. Buurtafel kijkt na, Lars telt.</t>
  </si>
  <si>
    <t xml:space="preserve">6. Telefoons op tafel, scherm naar beneden. Opzoeken is die ronde nul.</t>
  </si>
  <si>
    <t xml:space="preserve">7. Snelste tafel na de pauze: briefje, eerste goede wint, fout is af.</t>
  </si>
  <si>
    <t xml:space="preserve">8. Jackpot na ronde 6: goed wint, meerdere goed = tiebreak, niemand = rollover.</t>
  </si>
  <si>
    <t xml:space="preserve">9. Gelijke stand: schattingsvraag beslist, nooit loting.</t>
  </si>
  <si>
    <t xml:space="preserve">10. De quizmaster heeft altijd gelijk.</t>
  </si>
  <si>
    <t xml:space="preserve">11. Mexicano: rallypunten, individueel, 13 min of 24 punten, blokken van 4 op stand vanaf ronde 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</si>
</sst>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AD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9EAD3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"/>
    <col collapsed="false" customWidth="true" hidden="false" outlineLevel="0" max="4" min="4" style="0" width="20"/>
    <col collapsed="false" customWidth="true" hidden="false" outlineLevel="0" max="10" min="5" style="0" width="6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6"/>
      <c r="F5" s="6"/>
      <c r="G5" s="6"/>
      <c r="H5" s="6"/>
      <c r="I5" s="6"/>
      <c r="J5" s="6"/>
      <c r="K5" s="4" t="str">
        <f aca="false">IF(B5="","",SUM(E5:J5))</f>
        <v/>
      </c>
      <c r="L5" s="4" t="str">
        <f aca="false">IF(B5="","",J5)</f>
        <v/>
      </c>
      <c r="M5" s="4" t="str">
        <f aca="false">IF(B5="","",1+COUNTIFS($B$5:$B$44,"&lt;&gt;",$K$5:$K$44,"&gt;"&amp;K5)+COUNTIFS($B$5:$B$44,"&lt;&gt;",$K$5:$K$44,K5,$L$5:$L$44,"&gt;"&amp;L5))</f>
        <v/>
      </c>
      <c r="N5" s="4" t="str">
        <f aca="false">IF(B5="","",1+COUNTIFS($C$5:$C$44,C5,$K$5:$K$44,"&gt;"&amp;K5)+COUNTIFS($C$5:$C$44,C5,$K$5:$K$44,K5,$L$5:$L$44,"&gt;"&amp;L5))</f>
        <v/>
      </c>
      <c r="O5" s="4" t="str">
        <f aca="false">IF(B5="","",IF(AND(N5=1,C5="V"),"Padelkoningin",IF(AND(N5=1,C5="M"),"Padelkoning",IF(M5-COUNTIFS($N$5:$N$44,1,$M$5:$M$44,"&lt;"&amp;M5)&lt;=2,"Nummer "&amp;(M5-COUNTIFS($N$5:$N$44,1,$M$5:$M$44,"&lt;"&amp;M5)+1)&amp;" padel",""))))</f>
        <v/>
      </c>
    </row>
    <row r="6" customFormat="false" ht="15" hidden="false" customHeight="false" outlineLevel="0" collapsed="false">
      <c r="A6" s="4" t="n">
        <v>2</v>
      </c>
      <c r="B6" s="5"/>
      <c r="C6" s="5"/>
      <c r="D6" s="5"/>
      <c r="E6" s="6"/>
      <c r="F6" s="6"/>
      <c r="G6" s="6"/>
      <c r="H6" s="6"/>
      <c r="I6" s="6"/>
      <c r="J6" s="6"/>
      <c r="K6" s="4" t="str">
        <f aca="false">IF(B6="","",SUM(E6:J6))</f>
        <v/>
      </c>
      <c r="L6" s="4" t="str">
        <f aca="false">IF(B6="","",J6)</f>
        <v/>
      </c>
      <c r="M6" s="4" t="str">
        <f aca="false">IF(B6="","",1+COUNTIFS($B$5:$B$44,"&lt;&gt;",$K$5:$K$44,"&gt;"&amp;K6)+COUNTIFS($B$5:$B$44,"&lt;&gt;",$K$5:$K$44,K6,$L$5:$L$44,"&gt;"&amp;L6))</f>
        <v/>
      </c>
      <c r="N6" s="4" t="str">
        <f aca="false">IF(B6="","",1+COUNTIFS($C$5:$C$44,C6,$K$5:$K$44,"&gt;"&amp;K6)+COUNTIFS($C$5:$C$44,C6,$K$5:$K$44,K6,$L$5:$L$44,"&gt;"&amp;L6))</f>
        <v/>
      </c>
      <c r="O6" s="4" t="str">
        <f aca="false">IF(B6="","",IF(AND(N6=1,C6="V"),"Padelkoningin",IF(AND(N6=1,C6="M"),"Padelkoning",IF(M6-COUNTIFS($N$5:$N$44,1,$M$5:$M$44,"&lt;"&amp;M6)&lt;=2,"Nummer "&amp;(M6-COUNTIFS($N$5:$N$44,1,$M$5:$M$44,"&lt;"&amp;M6)+1)&amp;" padel",""))))</f>
        <v/>
      </c>
    </row>
    <row r="7" customFormat="false" ht="15" hidden="false" customHeight="false" outlineLevel="0" collapsed="false">
      <c r="A7" s="4" t="n">
        <v>3</v>
      </c>
      <c r="B7" s="5"/>
      <c r="C7" s="5"/>
      <c r="D7" s="5"/>
      <c r="E7" s="6"/>
      <c r="F7" s="6"/>
      <c r="G7" s="6"/>
      <c r="H7" s="6"/>
      <c r="I7" s="6"/>
      <c r="J7" s="6"/>
      <c r="K7" s="4" t="str">
        <f aca="false">IF(B7="","",SUM(E7:J7))</f>
        <v/>
      </c>
      <c r="L7" s="4" t="str">
        <f aca="false">IF(B7="","",J7)</f>
        <v/>
      </c>
      <c r="M7" s="4" t="str">
        <f aca="false">IF(B7="","",1+COUNTIFS($B$5:$B$44,"&lt;&gt;",$K$5:$K$44,"&gt;"&amp;K7)+COUNTIFS($B$5:$B$44,"&lt;&gt;",$K$5:$K$44,K7,$L$5:$L$44,"&gt;"&amp;L7))</f>
        <v/>
      </c>
      <c r="N7" s="4" t="str">
        <f aca="false">IF(B7="","",1+COUNTIFS($C$5:$C$44,C7,$K$5:$K$44,"&gt;"&amp;K7)+COUNTIFS($C$5:$C$44,C7,$K$5:$K$44,K7,$L$5:$L$44,"&gt;"&amp;L7))</f>
        <v/>
      </c>
      <c r="O7" s="4" t="str">
        <f aca="false">IF(B7="","",IF(AND(N7=1,C7="V"),"Padelkoningin",IF(AND(N7=1,C7="M"),"Padelkoning",IF(M7-COUNTIFS($N$5:$N$44,1,$M$5:$M$44,"&lt;"&amp;M7)&lt;=2,"Nummer "&amp;(M7-COUNTIFS($N$5:$N$44,1,$M$5:$M$44,"&lt;"&amp;M7)+1)&amp;" padel",""))))</f>
        <v/>
      </c>
    </row>
    <row r="8" customFormat="false" ht="15" hidden="false" customHeight="false" outlineLevel="0" collapsed="false">
      <c r="A8" s="4" t="n">
        <v>4</v>
      </c>
      <c r="B8" s="5"/>
      <c r="C8" s="5"/>
      <c r="D8" s="5"/>
      <c r="E8" s="6"/>
      <c r="F8" s="6"/>
      <c r="G8" s="6"/>
      <c r="H8" s="6"/>
      <c r="I8" s="6"/>
      <c r="J8" s="6"/>
      <c r="K8" s="4" t="str">
        <f aca="false">IF(B8="","",SUM(E8:J8))</f>
        <v/>
      </c>
      <c r="L8" s="4" t="str">
        <f aca="false">IF(B8="","",J8)</f>
        <v/>
      </c>
      <c r="M8" s="4" t="str">
        <f aca="false">IF(B8="","",1+COUNTIFS($B$5:$B$44,"&lt;&gt;",$K$5:$K$44,"&gt;"&amp;K8)+COUNTIFS($B$5:$B$44,"&lt;&gt;",$K$5:$K$44,K8,$L$5:$L$44,"&gt;"&amp;L8))</f>
        <v/>
      </c>
      <c r="N8" s="4" t="str">
        <f aca="false">IF(B8="","",1+COUNTIFS($C$5:$C$44,C8,$K$5:$K$44,"&gt;"&amp;K8)+COUNTIFS($C$5:$C$44,C8,$K$5:$K$44,K8,$L$5:$L$44,"&gt;"&amp;L8))</f>
        <v/>
      </c>
      <c r="O8" s="4" t="str">
        <f aca="false">IF(B8="","",IF(AND(N8=1,C8="V"),"Padelkoningin",IF(AND(N8=1,C8="M"),"Padelkoning",IF(M8-COUNTIFS($N$5:$N$44,1,$M$5:$M$44,"&lt;"&amp;M8)&lt;=2,"Nummer "&amp;(M8-COUNTIFS($N$5:$N$44,1,$M$5:$M$44,"&lt;"&amp;M8)+1)&amp;" padel",""))))</f>
        <v/>
      </c>
    </row>
    <row r="9" customFormat="false" ht="15" hidden="false" customHeight="false" outlineLevel="0" collapsed="false">
      <c r="A9" s="4" t="n">
        <v>5</v>
      </c>
      <c r="B9" s="5"/>
      <c r="C9" s="5"/>
      <c r="D9" s="5"/>
      <c r="E9" s="6"/>
      <c r="F9" s="6"/>
      <c r="G9" s="6"/>
      <c r="H9" s="6"/>
      <c r="I9" s="6"/>
      <c r="J9" s="6"/>
      <c r="K9" s="4" t="str">
        <f aca="false">IF(B9="","",SUM(E9:J9))</f>
        <v/>
      </c>
      <c r="L9" s="4" t="str">
        <f aca="false">IF(B9="","",J9)</f>
        <v/>
      </c>
      <c r="M9" s="4" t="str">
        <f aca="false">IF(B9="","",1+COUNTIFS($B$5:$B$44,"&lt;&gt;",$K$5:$K$44,"&gt;"&amp;K9)+COUNTIFS($B$5:$B$44,"&lt;&gt;",$K$5:$K$44,K9,$L$5:$L$44,"&gt;"&amp;L9))</f>
        <v/>
      </c>
      <c r="N9" s="4" t="str">
        <f aca="false">IF(B9="","",1+COUNTIFS($C$5:$C$44,C9,$K$5:$K$44,"&gt;"&amp;K9)+COUNTIFS($C$5:$C$44,C9,$K$5:$K$44,K9,$L$5:$L$44,"&gt;"&amp;L9))</f>
        <v/>
      </c>
      <c r="O9" s="4" t="str">
        <f aca="false">IF(B9="","",IF(AND(N9=1,C9="V"),"Padelkoningin",IF(AND(N9=1,C9="M"),"Padelkoning",IF(M9-COUNTIFS($N$5:$N$44,1,$M$5:$M$44,"&lt;"&amp;M9)&lt;=2,"Nummer "&amp;(M9-COUNTIFS($N$5:$N$44,1,$M$5:$M$44,"&lt;"&amp;M9)+1)&amp;" padel",""))))</f>
        <v/>
      </c>
    </row>
    <row r="10" customFormat="false" ht="15" hidden="false" customHeight="false" outlineLevel="0" collapsed="false">
      <c r="A10" s="4" t="n">
        <v>6</v>
      </c>
      <c r="B10" s="5"/>
      <c r="C10" s="5"/>
      <c r="D10" s="5"/>
      <c r="E10" s="6"/>
      <c r="F10" s="6"/>
      <c r="G10" s="6"/>
      <c r="H10" s="6"/>
      <c r="I10" s="6"/>
      <c r="J10" s="6"/>
      <c r="K10" s="4" t="str">
        <f aca="false">IF(B10="","",SUM(E10:J10))</f>
        <v/>
      </c>
      <c r="L10" s="4" t="str">
        <f aca="false">IF(B10="","",J10)</f>
        <v/>
      </c>
      <c r="M10" s="4" t="str">
        <f aca="false">IF(B10="","",1+COUNTIFS($B$5:$B$44,"&lt;&gt;",$K$5:$K$44,"&gt;"&amp;K10)+COUNTIFS($B$5:$B$44,"&lt;&gt;",$K$5:$K$44,K10,$L$5:$L$44,"&gt;"&amp;L10))</f>
        <v/>
      </c>
      <c r="N10" s="4" t="str">
        <f aca="false">IF(B10="","",1+COUNTIFS($C$5:$C$44,C10,$K$5:$K$44,"&gt;"&amp;K10)+COUNTIFS($C$5:$C$44,C10,$K$5:$K$44,K10,$L$5:$L$44,"&gt;"&amp;L10))</f>
        <v/>
      </c>
      <c r="O10" s="4" t="str">
        <f aca="false">IF(B10="","",IF(AND(N10=1,C10="V"),"Padelkoningin",IF(AND(N10=1,C10="M"),"Padelkoning",IF(M10-COUNTIFS($N$5:$N$44,1,$M$5:$M$44,"&lt;"&amp;M10)&lt;=2,"Nummer "&amp;(M10-COUNTIFS($N$5:$N$44,1,$M$5:$M$44,"&lt;"&amp;M10)+1)&amp;" padel",""))))</f>
        <v/>
      </c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6"/>
      <c r="F11" s="6"/>
      <c r="G11" s="6"/>
      <c r="H11" s="6"/>
      <c r="I11" s="6"/>
      <c r="J11" s="6"/>
      <c r="K11" s="4" t="str">
        <f aca="false">IF(B11="","",SUM(E11:J11))</f>
        <v/>
      </c>
      <c r="L11" s="4" t="str">
        <f aca="false">IF(B11="","",J11)</f>
        <v/>
      </c>
      <c r="M11" s="4" t="str">
        <f aca="false">IF(B11="","",1+COUNTIFS($B$5:$B$44,"&lt;&gt;",$K$5:$K$44,"&gt;"&amp;K11)+COUNTIFS($B$5:$B$44,"&lt;&gt;",$K$5:$K$44,K11,$L$5:$L$44,"&gt;"&amp;L11))</f>
        <v/>
      </c>
      <c r="N11" s="4" t="str">
        <f aca="false">IF(B11="","",1+COUNTIFS($C$5:$C$44,C11,$K$5:$K$44,"&gt;"&amp;K11)+COUNTIFS($C$5:$C$44,C11,$K$5:$K$44,K11,$L$5:$L$44,"&gt;"&amp;L11))</f>
        <v/>
      </c>
      <c r="O11" s="4" t="str">
        <f aca="false">IF(B11="","",IF(AND(N11=1,C11="V"),"Padelkoningin",IF(AND(N11=1,C11="M"),"Padelkoning",IF(M11-COUNTIFS($N$5:$N$44,1,$M$5:$M$44,"&lt;"&amp;M11)&lt;=2,"Nummer "&amp;(M11-COUNTIFS($N$5:$N$44,1,$M$5:$M$44,"&lt;"&amp;M11)+1)&amp;" padel",""))))</f>
        <v/>
      </c>
    </row>
    <row r="12" customFormat="false" ht="15" hidden="false" customHeight="false" outlineLevel="0" collapsed="false">
      <c r="A12" s="4" t="n">
        <v>8</v>
      </c>
      <c r="B12" s="5"/>
      <c r="C12" s="5"/>
      <c r="D12" s="5"/>
      <c r="E12" s="6"/>
      <c r="F12" s="6"/>
      <c r="G12" s="6"/>
      <c r="H12" s="6"/>
      <c r="I12" s="6"/>
      <c r="J12" s="6"/>
      <c r="K12" s="4" t="str">
        <f aca="false">IF(B12="","",SUM(E12:J12))</f>
        <v/>
      </c>
      <c r="L12" s="4" t="str">
        <f aca="false">IF(B12="","",J12)</f>
        <v/>
      </c>
      <c r="M12" s="4" t="str">
        <f aca="false">IF(B12="","",1+COUNTIFS($B$5:$B$44,"&lt;&gt;",$K$5:$K$44,"&gt;"&amp;K12)+COUNTIFS($B$5:$B$44,"&lt;&gt;",$K$5:$K$44,K12,$L$5:$L$44,"&gt;"&amp;L12))</f>
        <v/>
      </c>
      <c r="N12" s="4" t="str">
        <f aca="false">IF(B12="","",1+COUNTIFS($C$5:$C$44,C12,$K$5:$K$44,"&gt;"&amp;K12)+COUNTIFS($C$5:$C$44,C12,$K$5:$K$44,K12,$L$5:$L$44,"&gt;"&amp;L12))</f>
        <v/>
      </c>
      <c r="O12" s="4" t="str">
        <f aca="false">IF(B12="","",IF(AND(N12=1,C12="V"),"Padelkoningin",IF(AND(N12=1,C12="M"),"Padelkoning",IF(M12-COUNTIFS($N$5:$N$44,1,$M$5:$M$44,"&lt;"&amp;M12)&lt;=2,"Nummer "&amp;(M12-COUNTIFS($N$5:$N$44,1,$M$5:$M$44,"&lt;"&amp;M12)+1)&amp;" padel",""))))</f>
        <v/>
      </c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6"/>
      <c r="F13" s="6"/>
      <c r="G13" s="6"/>
      <c r="H13" s="6"/>
      <c r="I13" s="6"/>
      <c r="J13" s="6"/>
      <c r="K13" s="4" t="str">
        <f aca="false">IF(B13="","",SUM(E13:J13))</f>
        <v/>
      </c>
      <c r="L13" s="4" t="str">
        <f aca="false">IF(B13="","",J13)</f>
        <v/>
      </c>
      <c r="M13" s="4" t="str">
        <f aca="false">IF(B13="","",1+COUNTIFS($B$5:$B$44,"&lt;&gt;",$K$5:$K$44,"&gt;"&amp;K13)+COUNTIFS($B$5:$B$44,"&lt;&gt;",$K$5:$K$44,K13,$L$5:$L$44,"&gt;"&amp;L13))</f>
        <v/>
      </c>
      <c r="N13" s="4" t="str">
        <f aca="false">IF(B13="","",1+COUNTIFS($C$5:$C$44,C13,$K$5:$K$44,"&gt;"&amp;K13)+COUNTIFS($C$5:$C$44,C13,$K$5:$K$44,K13,$L$5:$L$44,"&gt;"&amp;L13))</f>
        <v/>
      </c>
      <c r="O13" s="4" t="str">
        <f aca="false">IF(B13="","",IF(AND(N13=1,C13="V"),"Padelkoningin",IF(AND(N13=1,C13="M"),"Padelkoning",IF(M13-COUNTIFS($N$5:$N$44,1,$M$5:$M$44,"&lt;"&amp;M13)&lt;=2,"Nummer "&amp;(M13-COUNTIFS($N$5:$N$44,1,$M$5:$M$44,"&lt;"&amp;M13)+1)&amp;" padel",""))))</f>
        <v/>
      </c>
    </row>
    <row r="14" customFormat="false" ht="15" hidden="false" customHeight="false" outlineLevel="0" collapsed="false">
      <c r="A14" s="4" t="n">
        <v>10</v>
      </c>
      <c r="B14" s="5"/>
      <c r="C14" s="5"/>
      <c r="D14" s="5"/>
      <c r="E14" s="6"/>
      <c r="F14" s="6"/>
      <c r="G14" s="6"/>
      <c r="H14" s="6"/>
      <c r="I14" s="6"/>
      <c r="J14" s="6"/>
      <c r="K14" s="4" t="str">
        <f aca="false">IF(B14="","",SUM(E14:J14))</f>
        <v/>
      </c>
      <c r="L14" s="4" t="str">
        <f aca="false">IF(B14="","",J14)</f>
        <v/>
      </c>
      <c r="M14" s="4" t="str">
        <f aca="false">IF(B14="","",1+COUNTIFS($B$5:$B$44,"&lt;&gt;",$K$5:$K$44,"&gt;"&amp;K14)+COUNTIFS($B$5:$B$44,"&lt;&gt;",$K$5:$K$44,K14,$L$5:$L$44,"&gt;"&amp;L14))</f>
        <v/>
      </c>
      <c r="N14" s="4" t="str">
        <f aca="false">IF(B14="","",1+COUNTIFS($C$5:$C$44,C14,$K$5:$K$44,"&gt;"&amp;K14)+COUNTIFS($C$5:$C$44,C14,$K$5:$K$44,K14,$L$5:$L$44,"&gt;"&amp;L14))</f>
        <v/>
      </c>
      <c r="O14" s="4" t="str">
        <f aca="false">IF(B14="","",IF(AND(N14=1,C14="V"),"Padelkoningin",IF(AND(N14=1,C14="M"),"Padelkoning",IF(M14-COUNTIFS($N$5:$N$44,1,$M$5:$M$44,"&lt;"&amp;M14)&lt;=2,"Nummer "&amp;(M14-COUNTIFS($N$5:$N$44,1,$M$5:$M$44,"&lt;"&amp;M14)+1)&amp;" padel",""))))</f>
        <v/>
      </c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6"/>
      <c r="F15" s="6"/>
      <c r="G15" s="6"/>
      <c r="H15" s="6"/>
      <c r="I15" s="6"/>
      <c r="J15" s="6"/>
      <c r="K15" s="4" t="str">
        <f aca="false">IF(B15="","",SUM(E15:J15))</f>
        <v/>
      </c>
      <c r="L15" s="4" t="str">
        <f aca="false">IF(B15="","",J15)</f>
        <v/>
      </c>
      <c r="M15" s="4" t="str">
        <f aca="false">IF(B15="","",1+COUNTIFS($B$5:$B$44,"&lt;&gt;",$K$5:$K$44,"&gt;"&amp;K15)+COUNTIFS($B$5:$B$44,"&lt;&gt;",$K$5:$K$44,K15,$L$5:$L$44,"&gt;"&amp;L15))</f>
        <v/>
      </c>
      <c r="N15" s="4" t="str">
        <f aca="false">IF(B15="","",1+COUNTIFS($C$5:$C$44,C15,$K$5:$K$44,"&gt;"&amp;K15)+COUNTIFS($C$5:$C$44,C15,$K$5:$K$44,K15,$L$5:$L$44,"&gt;"&amp;L15))</f>
        <v/>
      </c>
      <c r="O15" s="4" t="str">
        <f aca="false">IF(B15="","",IF(AND(N15=1,C15="V"),"Padelkoningin",IF(AND(N15=1,C15="M"),"Padelkoning",IF(M15-COUNTIFS($N$5:$N$44,1,$M$5:$M$44,"&lt;"&amp;M15)&lt;=2,"Nummer "&amp;(M15-COUNTIFS($N$5:$N$44,1,$M$5:$M$44,"&lt;"&amp;M15)+1)&amp;" padel",""))))</f>
        <v/>
      </c>
    </row>
    <row r="16" customFormat="false" ht="15" hidden="false" customHeight="false" outlineLevel="0" collapsed="false">
      <c r="A16" s="4" t="n">
        <v>12</v>
      </c>
      <c r="B16" s="5"/>
      <c r="C16" s="5"/>
      <c r="D16" s="5"/>
      <c r="E16" s="6"/>
      <c r="F16" s="6"/>
      <c r="G16" s="6"/>
      <c r="H16" s="6"/>
      <c r="I16" s="6"/>
      <c r="J16" s="6"/>
      <c r="K16" s="4" t="str">
        <f aca="false">IF(B16="","",SUM(E16:J16))</f>
        <v/>
      </c>
      <c r="L16" s="4" t="str">
        <f aca="false">IF(B16="","",J16)</f>
        <v/>
      </c>
      <c r="M16" s="4" t="str">
        <f aca="false">IF(B16="","",1+COUNTIFS($B$5:$B$44,"&lt;&gt;",$K$5:$K$44,"&gt;"&amp;K16)+COUNTIFS($B$5:$B$44,"&lt;&gt;",$K$5:$K$44,K16,$L$5:$L$44,"&gt;"&amp;L16))</f>
        <v/>
      </c>
      <c r="N16" s="4" t="str">
        <f aca="false">IF(B16="","",1+COUNTIFS($C$5:$C$44,C16,$K$5:$K$44,"&gt;"&amp;K16)+COUNTIFS($C$5:$C$44,C16,$K$5:$K$44,K16,$L$5:$L$44,"&gt;"&amp;L16))</f>
        <v/>
      </c>
      <c r="O16" s="4" t="str">
        <f aca="false">IF(B16="","",IF(AND(N16=1,C16="V"),"Padelkoningin",IF(AND(N16=1,C16="M"),"Padelkoning",IF(M16-COUNTIFS($N$5:$N$44,1,$M$5:$M$44,"&lt;"&amp;M16)&lt;=2,"Nummer "&amp;(M16-COUNTIFS($N$5:$N$44,1,$M$5:$M$44,"&lt;"&amp;M16)+1)&amp;" padel",""))))</f>
        <v/>
      </c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6"/>
      <c r="F17" s="6"/>
      <c r="G17" s="6"/>
      <c r="H17" s="6"/>
      <c r="I17" s="6"/>
      <c r="J17" s="6"/>
      <c r="K17" s="4" t="str">
        <f aca="false">IF(B17="","",SUM(E17:J17))</f>
        <v/>
      </c>
      <c r="L17" s="4" t="str">
        <f aca="false">IF(B17="","",J17)</f>
        <v/>
      </c>
      <c r="M17" s="4" t="str">
        <f aca="false">IF(B17="","",1+COUNTIFS($B$5:$B$44,"&lt;&gt;",$K$5:$K$44,"&gt;"&amp;K17)+COUNTIFS($B$5:$B$44,"&lt;&gt;",$K$5:$K$44,K17,$L$5:$L$44,"&gt;"&amp;L17))</f>
        <v/>
      </c>
      <c r="N17" s="4" t="str">
        <f aca="false">IF(B17="","",1+COUNTIFS($C$5:$C$44,C17,$K$5:$K$44,"&gt;"&amp;K17)+COUNTIFS($C$5:$C$44,C17,$K$5:$K$44,K17,$L$5:$L$44,"&gt;"&amp;L17))</f>
        <v/>
      </c>
      <c r="O17" s="4" t="str">
        <f aca="false">IF(B17="","",IF(AND(N17=1,C17="V"),"Padelkoningin",IF(AND(N17=1,C17="M"),"Padelkoning",IF(M17-COUNTIFS($N$5:$N$44,1,$M$5:$M$44,"&lt;"&amp;M17)&lt;=2,"Nummer "&amp;(M17-COUNTIFS($N$5:$N$44,1,$M$5:$M$44,"&lt;"&amp;M17)+1)&amp;" padel",""))))</f>
        <v/>
      </c>
    </row>
    <row r="18" customFormat="false" ht="15" hidden="false" customHeight="false" outlineLevel="0" collapsed="false">
      <c r="A18" s="4" t="n">
        <v>14</v>
      </c>
      <c r="B18" s="5"/>
      <c r="C18" s="5"/>
      <c r="D18" s="5"/>
      <c r="E18" s="6"/>
      <c r="F18" s="6"/>
      <c r="G18" s="6"/>
      <c r="H18" s="6"/>
      <c r="I18" s="6"/>
      <c r="J18" s="6"/>
      <c r="K18" s="4" t="str">
        <f aca="false">IF(B18="","",SUM(E18:J18))</f>
        <v/>
      </c>
      <c r="L18" s="4" t="str">
        <f aca="false">IF(B18="","",J18)</f>
        <v/>
      </c>
      <c r="M18" s="4" t="str">
        <f aca="false">IF(B18="","",1+COUNTIFS($B$5:$B$44,"&lt;&gt;",$K$5:$K$44,"&gt;"&amp;K18)+COUNTIFS($B$5:$B$44,"&lt;&gt;",$K$5:$K$44,K18,$L$5:$L$44,"&gt;"&amp;L18))</f>
        <v/>
      </c>
      <c r="N18" s="4" t="str">
        <f aca="false">IF(B18="","",1+COUNTIFS($C$5:$C$44,C18,$K$5:$K$44,"&gt;"&amp;K18)+COUNTIFS($C$5:$C$44,C18,$K$5:$K$44,K18,$L$5:$L$44,"&gt;"&amp;L18))</f>
        <v/>
      </c>
      <c r="O18" s="4" t="str">
        <f aca="false">IF(B18="","",IF(AND(N18=1,C18="V"),"Padelkoningin",IF(AND(N18=1,C18="M"),"Padelkoning",IF(M18-COUNTIFS($N$5:$N$44,1,$M$5:$M$44,"&lt;"&amp;M18)&lt;=2,"Nummer "&amp;(M18-COUNTIFS($N$5:$N$44,1,$M$5:$M$44,"&lt;"&amp;M18)+1)&amp;" padel",""))))</f>
        <v/>
      </c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6"/>
      <c r="F19" s="6"/>
      <c r="G19" s="6"/>
      <c r="H19" s="6"/>
      <c r="I19" s="6"/>
      <c r="J19" s="6"/>
      <c r="K19" s="4" t="str">
        <f aca="false">IF(B19="","",SUM(E19:J19))</f>
        <v/>
      </c>
      <c r="L19" s="4" t="str">
        <f aca="false">IF(B19="","",J19)</f>
        <v/>
      </c>
      <c r="M19" s="4" t="str">
        <f aca="false">IF(B19="","",1+COUNTIFS($B$5:$B$44,"&lt;&gt;",$K$5:$K$44,"&gt;"&amp;K19)+COUNTIFS($B$5:$B$44,"&lt;&gt;",$K$5:$K$44,K19,$L$5:$L$44,"&gt;"&amp;L19))</f>
        <v/>
      </c>
      <c r="N19" s="4" t="str">
        <f aca="false">IF(B19="","",1+COUNTIFS($C$5:$C$44,C19,$K$5:$K$44,"&gt;"&amp;K19)+COUNTIFS($C$5:$C$44,C19,$K$5:$K$44,K19,$L$5:$L$44,"&gt;"&amp;L19))</f>
        <v/>
      </c>
      <c r="O19" s="4" t="str">
        <f aca="false">IF(B19="","",IF(AND(N19=1,C19="V"),"Padelkoningin",IF(AND(N19=1,C19="M"),"Padelkoning",IF(M19-COUNTIFS($N$5:$N$44,1,$M$5:$M$44,"&lt;"&amp;M19)&lt;=2,"Nummer "&amp;(M19-COUNTIFS($N$5:$N$44,1,$M$5:$M$44,"&lt;"&amp;M19)+1)&amp;" padel",""))))</f>
        <v/>
      </c>
    </row>
    <row r="20" customFormat="false" ht="15" hidden="false" customHeight="false" outlineLevel="0" collapsed="false">
      <c r="A20" s="4" t="n">
        <v>16</v>
      </c>
      <c r="B20" s="5"/>
      <c r="C20" s="5"/>
      <c r="D20" s="5"/>
      <c r="E20" s="6"/>
      <c r="F20" s="6"/>
      <c r="G20" s="6"/>
      <c r="H20" s="6"/>
      <c r="I20" s="6"/>
      <c r="J20" s="6"/>
      <c r="K20" s="4" t="str">
        <f aca="false">IF(B20="","",SUM(E20:J20))</f>
        <v/>
      </c>
      <c r="L20" s="4" t="str">
        <f aca="false">IF(B20="","",J20)</f>
        <v/>
      </c>
      <c r="M20" s="4" t="str">
        <f aca="false">IF(B20="","",1+COUNTIFS($B$5:$B$44,"&lt;&gt;",$K$5:$K$44,"&gt;"&amp;K20)+COUNTIFS($B$5:$B$44,"&lt;&gt;",$K$5:$K$44,K20,$L$5:$L$44,"&gt;"&amp;L20))</f>
        <v/>
      </c>
      <c r="N20" s="4" t="str">
        <f aca="false">IF(B20="","",1+COUNTIFS($C$5:$C$44,C20,$K$5:$K$44,"&gt;"&amp;K20)+COUNTIFS($C$5:$C$44,C20,$K$5:$K$44,K20,$L$5:$L$44,"&gt;"&amp;L20))</f>
        <v/>
      </c>
      <c r="O20" s="4" t="str">
        <f aca="false">IF(B20="","",IF(AND(N20=1,C20="V"),"Padelkoningin",IF(AND(N20=1,C20="M"),"Padelkoning",IF(M20-COUNTIFS($N$5:$N$44,1,$M$5:$M$44,"&lt;"&amp;M20)&lt;=2,"Nummer "&amp;(M20-COUNTIFS($N$5:$N$44,1,$M$5:$M$44,"&lt;"&amp;M20)+1)&amp;" padel",""))))</f>
        <v/>
      </c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6"/>
      <c r="F21" s="6"/>
      <c r="G21" s="6"/>
      <c r="H21" s="6"/>
      <c r="I21" s="6"/>
      <c r="J21" s="6"/>
      <c r="K21" s="4" t="str">
        <f aca="false">IF(B21="","",SUM(E21:J21))</f>
        <v/>
      </c>
      <c r="L21" s="4" t="str">
        <f aca="false">IF(B21="","",J21)</f>
        <v/>
      </c>
      <c r="M21" s="4" t="str">
        <f aca="false">IF(B21="","",1+COUNTIFS($B$5:$B$44,"&lt;&gt;",$K$5:$K$44,"&gt;"&amp;K21)+COUNTIFS($B$5:$B$44,"&lt;&gt;",$K$5:$K$44,K21,$L$5:$L$44,"&gt;"&amp;L21))</f>
        <v/>
      </c>
      <c r="N21" s="4" t="str">
        <f aca="false">IF(B21="","",1+COUNTIFS($C$5:$C$44,C21,$K$5:$K$44,"&gt;"&amp;K21)+COUNTIFS($C$5:$C$44,C21,$K$5:$K$44,K21,$L$5:$L$44,"&gt;"&amp;L21))</f>
        <v/>
      </c>
      <c r="O21" s="4" t="str">
        <f aca="false">IF(B21="","",IF(AND(N21=1,C21="V"),"Padelkoningin",IF(AND(N21=1,C21="M"),"Padelkoning",IF(M21-COUNTIFS($N$5:$N$44,1,$M$5:$M$44,"&lt;"&amp;M21)&lt;=2,"Nummer "&amp;(M21-COUNTIFS($N$5:$N$44,1,$M$5:$M$44,"&lt;"&amp;M21)+1)&amp;" padel",""))))</f>
        <v/>
      </c>
    </row>
    <row r="22" customFormat="false" ht="15" hidden="false" customHeight="false" outlineLevel="0" collapsed="false">
      <c r="A22" s="4" t="n">
        <v>18</v>
      </c>
      <c r="B22" s="5"/>
      <c r="C22" s="5"/>
      <c r="D22" s="5"/>
      <c r="E22" s="6"/>
      <c r="F22" s="6"/>
      <c r="G22" s="6"/>
      <c r="H22" s="6"/>
      <c r="I22" s="6"/>
      <c r="J22" s="6"/>
      <c r="K22" s="4" t="str">
        <f aca="false">IF(B22="","",SUM(E22:J22))</f>
        <v/>
      </c>
      <c r="L22" s="4" t="str">
        <f aca="false">IF(B22="","",J22)</f>
        <v/>
      </c>
      <c r="M22" s="4" t="str">
        <f aca="false">IF(B22="","",1+COUNTIFS($B$5:$B$44,"&lt;&gt;",$K$5:$K$44,"&gt;"&amp;K22)+COUNTIFS($B$5:$B$44,"&lt;&gt;",$K$5:$K$44,K22,$L$5:$L$44,"&gt;"&amp;L22))</f>
        <v/>
      </c>
      <c r="N22" s="4" t="str">
        <f aca="false">IF(B22="","",1+COUNTIFS($C$5:$C$44,C22,$K$5:$K$44,"&gt;"&amp;K22)+COUNTIFS($C$5:$C$44,C22,$K$5:$K$44,K22,$L$5:$L$44,"&gt;"&amp;L22))</f>
        <v/>
      </c>
      <c r="O22" s="4" t="str">
        <f aca="false">IF(B22="","",IF(AND(N22=1,C22="V"),"Padelkoningin",IF(AND(N22=1,C22="M"),"Padelkoning",IF(M22-COUNTIFS($N$5:$N$44,1,$M$5:$M$44,"&lt;"&amp;M22)&lt;=2,"Nummer "&amp;(M22-COUNTIFS($N$5:$N$44,1,$M$5:$M$44,"&lt;"&amp;M22)+1)&amp;" padel",""))))</f>
        <v/>
      </c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6"/>
      <c r="F23" s="6"/>
      <c r="G23" s="6"/>
      <c r="H23" s="6"/>
      <c r="I23" s="6"/>
      <c r="J23" s="6"/>
      <c r="K23" s="4" t="str">
        <f aca="false">IF(B23="","",SUM(E23:J23))</f>
        <v/>
      </c>
      <c r="L23" s="4" t="str">
        <f aca="false">IF(B23="","",J23)</f>
        <v/>
      </c>
      <c r="M23" s="4" t="str">
        <f aca="false">IF(B23="","",1+COUNTIFS($B$5:$B$44,"&lt;&gt;",$K$5:$K$44,"&gt;"&amp;K23)+COUNTIFS($B$5:$B$44,"&lt;&gt;",$K$5:$K$44,K23,$L$5:$L$44,"&gt;"&amp;L23))</f>
        <v/>
      </c>
      <c r="N23" s="4" t="str">
        <f aca="false">IF(B23="","",1+COUNTIFS($C$5:$C$44,C23,$K$5:$K$44,"&gt;"&amp;K23)+COUNTIFS($C$5:$C$44,C23,$K$5:$K$44,K23,$L$5:$L$44,"&gt;"&amp;L23))</f>
        <v/>
      </c>
      <c r="O23" s="4" t="str">
        <f aca="false">IF(B23="","",IF(AND(N23=1,C23="V"),"Padelkoningin",IF(AND(N23=1,C23="M"),"Padelkoning",IF(M23-COUNTIFS($N$5:$N$44,1,$M$5:$M$44,"&lt;"&amp;M23)&lt;=2,"Nummer "&amp;(M23-COUNTIFS($N$5:$N$44,1,$M$5:$M$44,"&lt;"&amp;M23)+1)&amp;" padel",""))))</f>
        <v/>
      </c>
    </row>
    <row r="24" customFormat="false" ht="15" hidden="false" customHeight="false" outlineLevel="0" collapsed="false">
      <c r="A24" s="4" t="n">
        <v>20</v>
      </c>
      <c r="B24" s="5"/>
      <c r="C24" s="5"/>
      <c r="D24" s="5"/>
      <c r="E24" s="6"/>
      <c r="F24" s="6"/>
      <c r="G24" s="6"/>
      <c r="H24" s="6"/>
      <c r="I24" s="6"/>
      <c r="J24" s="6"/>
      <c r="K24" s="4" t="str">
        <f aca="false">IF(B24="","",SUM(E24:J24))</f>
        <v/>
      </c>
      <c r="L24" s="4" t="str">
        <f aca="false">IF(B24="","",J24)</f>
        <v/>
      </c>
      <c r="M24" s="4" t="str">
        <f aca="false">IF(B24="","",1+COUNTIFS($B$5:$B$44,"&lt;&gt;",$K$5:$K$44,"&gt;"&amp;K24)+COUNTIFS($B$5:$B$44,"&lt;&gt;",$K$5:$K$44,K24,$L$5:$L$44,"&gt;"&amp;L24))</f>
        <v/>
      </c>
      <c r="N24" s="4" t="str">
        <f aca="false">IF(B24="","",1+COUNTIFS($C$5:$C$44,C24,$K$5:$K$44,"&gt;"&amp;K24)+COUNTIFS($C$5:$C$44,C24,$K$5:$K$44,K24,$L$5:$L$44,"&gt;"&amp;L24))</f>
        <v/>
      </c>
      <c r="O24" s="4" t="str">
        <f aca="false">IF(B24="","",IF(AND(N24=1,C24="V"),"Padelkoningin",IF(AND(N24=1,C24="M"),"Padelkoning",IF(M24-COUNTIFS($N$5:$N$44,1,$M$5:$M$44,"&lt;"&amp;M24)&lt;=2,"Nummer "&amp;(M24-COUNTIFS($N$5:$N$44,1,$M$5:$M$44,"&lt;"&amp;M24)+1)&amp;" padel",""))))</f>
        <v/>
      </c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6"/>
      <c r="F25" s="6"/>
      <c r="G25" s="6"/>
      <c r="H25" s="6"/>
      <c r="I25" s="6"/>
      <c r="J25" s="6"/>
      <c r="K25" s="4" t="str">
        <f aca="false">IF(B25="","",SUM(E25:J25))</f>
        <v/>
      </c>
      <c r="L25" s="4" t="str">
        <f aca="false">IF(B25="","",J25)</f>
        <v/>
      </c>
      <c r="M25" s="4" t="str">
        <f aca="false">IF(B25="","",1+COUNTIFS($B$5:$B$44,"&lt;&gt;",$K$5:$K$44,"&gt;"&amp;K25)+COUNTIFS($B$5:$B$44,"&lt;&gt;",$K$5:$K$44,K25,$L$5:$L$44,"&gt;"&amp;L25))</f>
        <v/>
      </c>
      <c r="N25" s="4" t="str">
        <f aca="false">IF(B25="","",1+COUNTIFS($C$5:$C$44,C25,$K$5:$K$44,"&gt;"&amp;K25)+COUNTIFS($C$5:$C$44,C25,$K$5:$K$44,K25,$L$5:$L$44,"&gt;"&amp;L25))</f>
        <v/>
      </c>
      <c r="O25" s="4" t="str">
        <f aca="false">IF(B25="","",IF(AND(N25=1,C25="V"),"Padelkoningin",IF(AND(N25=1,C25="M"),"Padelkoning",IF(M25-COUNTIFS($N$5:$N$44,1,$M$5:$M$44,"&lt;"&amp;M25)&lt;=2,"Nummer "&amp;(M25-COUNTIFS($N$5:$N$44,1,$M$5:$M$44,"&lt;"&amp;M25)+1)&amp;" padel",""))))</f>
        <v/>
      </c>
    </row>
    <row r="26" customFormat="false" ht="15" hidden="false" customHeight="false" outlineLevel="0" collapsed="false">
      <c r="A26" s="4" t="n">
        <v>22</v>
      </c>
      <c r="B26" s="5"/>
      <c r="C26" s="5"/>
      <c r="D26" s="5"/>
      <c r="E26" s="6"/>
      <c r="F26" s="6"/>
      <c r="G26" s="6"/>
      <c r="H26" s="6"/>
      <c r="I26" s="6"/>
      <c r="J26" s="6"/>
      <c r="K26" s="4" t="str">
        <f aca="false">IF(B26="","",SUM(E26:J26))</f>
        <v/>
      </c>
      <c r="L26" s="4" t="str">
        <f aca="false">IF(B26="","",J26)</f>
        <v/>
      </c>
      <c r="M26" s="4" t="str">
        <f aca="false">IF(B26="","",1+COUNTIFS($B$5:$B$44,"&lt;&gt;",$K$5:$K$44,"&gt;"&amp;K26)+COUNTIFS($B$5:$B$44,"&lt;&gt;",$K$5:$K$44,K26,$L$5:$L$44,"&gt;"&amp;L26))</f>
        <v/>
      </c>
      <c r="N26" s="4" t="str">
        <f aca="false">IF(B26="","",1+COUNTIFS($C$5:$C$44,C26,$K$5:$K$44,"&gt;"&amp;K26)+COUNTIFS($C$5:$C$44,C26,$K$5:$K$44,K26,$L$5:$L$44,"&gt;"&amp;L26))</f>
        <v/>
      </c>
      <c r="O26" s="4" t="str">
        <f aca="false">IF(B26="","",IF(AND(N26=1,C26="V"),"Padelkoningin",IF(AND(N26=1,C26="M"),"Padelkoning",IF(M26-COUNTIFS($N$5:$N$44,1,$M$5:$M$44,"&lt;"&amp;M26)&lt;=2,"Nummer "&amp;(M26-COUNTIFS($N$5:$N$44,1,$M$5:$M$44,"&lt;"&amp;M26)+1)&amp;" padel",""))))</f>
        <v/>
      </c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6"/>
      <c r="F27" s="6"/>
      <c r="G27" s="6"/>
      <c r="H27" s="6"/>
      <c r="I27" s="6"/>
      <c r="J27" s="6"/>
      <c r="K27" s="4" t="str">
        <f aca="false">IF(B27="","",SUM(E27:J27))</f>
        <v/>
      </c>
      <c r="L27" s="4" t="str">
        <f aca="false">IF(B27="","",J27)</f>
        <v/>
      </c>
      <c r="M27" s="4" t="str">
        <f aca="false">IF(B27="","",1+COUNTIFS($B$5:$B$44,"&lt;&gt;",$K$5:$K$44,"&gt;"&amp;K27)+COUNTIFS($B$5:$B$44,"&lt;&gt;",$K$5:$K$44,K27,$L$5:$L$44,"&gt;"&amp;L27))</f>
        <v/>
      </c>
      <c r="N27" s="4" t="str">
        <f aca="false">IF(B27="","",1+COUNTIFS($C$5:$C$44,C27,$K$5:$K$44,"&gt;"&amp;K27)+COUNTIFS($C$5:$C$44,C27,$K$5:$K$44,K27,$L$5:$L$44,"&gt;"&amp;L27))</f>
        <v/>
      </c>
      <c r="O27" s="4" t="str">
        <f aca="false">IF(B27="","",IF(AND(N27=1,C27="V"),"Padelkoningin",IF(AND(N27=1,C27="M"),"Padelkoning",IF(M27-COUNTIFS($N$5:$N$44,1,$M$5:$M$44,"&lt;"&amp;M27)&lt;=2,"Nummer "&amp;(M27-COUNTIFS($N$5:$N$44,1,$M$5:$M$44,"&lt;"&amp;M27)+1)&amp;" padel",""))))</f>
        <v/>
      </c>
    </row>
    <row r="28" customFormat="false" ht="15" hidden="false" customHeight="false" outlineLevel="0" collapsed="false">
      <c r="A28" s="4" t="n">
        <v>24</v>
      </c>
      <c r="B28" s="5"/>
      <c r="C28" s="5"/>
      <c r="D28" s="5"/>
      <c r="E28" s="6"/>
      <c r="F28" s="6"/>
      <c r="G28" s="6"/>
      <c r="H28" s="6"/>
      <c r="I28" s="6"/>
      <c r="J28" s="6"/>
      <c r="K28" s="4" t="str">
        <f aca="false">IF(B28="","",SUM(E28:J28))</f>
        <v/>
      </c>
      <c r="L28" s="4" t="str">
        <f aca="false">IF(B28="","",J28)</f>
        <v/>
      </c>
      <c r="M28" s="4" t="str">
        <f aca="false">IF(B28="","",1+COUNTIFS($B$5:$B$44,"&lt;&gt;",$K$5:$K$44,"&gt;"&amp;K28)+COUNTIFS($B$5:$B$44,"&lt;&gt;",$K$5:$K$44,K28,$L$5:$L$44,"&gt;"&amp;L28))</f>
        <v/>
      </c>
      <c r="N28" s="4" t="str">
        <f aca="false">IF(B28="","",1+COUNTIFS($C$5:$C$44,C28,$K$5:$K$44,"&gt;"&amp;K28)+COUNTIFS($C$5:$C$44,C28,$K$5:$K$44,K28,$L$5:$L$44,"&gt;"&amp;L28))</f>
        <v/>
      </c>
      <c r="O28" s="4" t="str">
        <f aca="false">IF(B28="","",IF(AND(N28=1,C28="V"),"Padelkoningin",IF(AND(N28=1,C28="M"),"Padelkoning",IF(M28-COUNTIFS($N$5:$N$44,1,$M$5:$M$44,"&lt;"&amp;M28)&lt;=2,"Nummer "&amp;(M28-COUNTIFS($N$5:$N$44,1,$M$5:$M$44,"&lt;"&amp;M28)+1)&amp;" padel",""))))</f>
        <v/>
      </c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6"/>
      <c r="F29" s="6"/>
      <c r="G29" s="6"/>
      <c r="H29" s="6"/>
      <c r="I29" s="6"/>
      <c r="J29" s="6"/>
      <c r="K29" s="4" t="str">
        <f aca="false">IF(B29="","",SUM(E29:J29))</f>
        <v/>
      </c>
      <c r="L29" s="4" t="str">
        <f aca="false">IF(B29="","",J29)</f>
        <v/>
      </c>
      <c r="M29" s="4" t="str">
        <f aca="false">IF(B29="","",1+COUNTIFS($B$5:$B$44,"&lt;&gt;",$K$5:$K$44,"&gt;"&amp;K29)+COUNTIFS($B$5:$B$44,"&lt;&gt;",$K$5:$K$44,K29,$L$5:$L$44,"&gt;"&amp;L29))</f>
        <v/>
      </c>
      <c r="N29" s="4" t="str">
        <f aca="false">IF(B29="","",1+COUNTIFS($C$5:$C$44,C29,$K$5:$K$44,"&gt;"&amp;K29)+COUNTIFS($C$5:$C$44,C29,$K$5:$K$44,K29,$L$5:$L$44,"&gt;"&amp;L29))</f>
        <v/>
      </c>
      <c r="O29" s="4" t="str">
        <f aca="false">IF(B29="","",IF(AND(N29=1,C29="V"),"Padelkoningin",IF(AND(N29=1,C29="M"),"Padelkoning",IF(M29-COUNTIFS($N$5:$N$44,1,$M$5:$M$44,"&lt;"&amp;M29)&lt;=2,"Nummer "&amp;(M29-COUNTIFS($N$5:$N$44,1,$M$5:$M$44,"&lt;"&amp;M29)+1)&amp;" padel",""))))</f>
        <v/>
      </c>
    </row>
    <row r="30" customFormat="false" ht="15" hidden="false" customHeight="false" outlineLevel="0" collapsed="false">
      <c r="A30" s="4" t="n">
        <v>26</v>
      </c>
      <c r="B30" s="5"/>
      <c r="C30" s="5"/>
      <c r="D30" s="5"/>
      <c r="E30" s="6"/>
      <c r="F30" s="6"/>
      <c r="G30" s="6"/>
      <c r="H30" s="6"/>
      <c r="I30" s="6"/>
      <c r="J30" s="6"/>
      <c r="K30" s="4" t="str">
        <f aca="false">IF(B30="","",SUM(E30:J30))</f>
        <v/>
      </c>
      <c r="L30" s="4" t="str">
        <f aca="false">IF(B30="","",J30)</f>
        <v/>
      </c>
      <c r="M30" s="4" t="str">
        <f aca="false">IF(B30="","",1+COUNTIFS($B$5:$B$44,"&lt;&gt;",$K$5:$K$44,"&gt;"&amp;K30)+COUNTIFS($B$5:$B$44,"&lt;&gt;",$K$5:$K$44,K30,$L$5:$L$44,"&gt;"&amp;L30))</f>
        <v/>
      </c>
      <c r="N30" s="4" t="str">
        <f aca="false">IF(B30="","",1+COUNTIFS($C$5:$C$44,C30,$K$5:$K$44,"&gt;"&amp;K30)+COUNTIFS($C$5:$C$44,C30,$K$5:$K$44,K30,$L$5:$L$44,"&gt;"&amp;L30))</f>
        <v/>
      </c>
      <c r="O30" s="4" t="str">
        <f aca="false">IF(B30="","",IF(AND(N30=1,C30="V"),"Padelkoningin",IF(AND(N30=1,C30="M"),"Padelkoning",IF(M30-COUNTIFS($N$5:$N$44,1,$M$5:$M$44,"&lt;"&amp;M30)&lt;=2,"Nummer "&amp;(M30-COUNTIFS($N$5:$N$44,1,$M$5:$M$44,"&lt;"&amp;M30)+1)&amp;" padel",""))))</f>
        <v/>
      </c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6"/>
      <c r="F31" s="6"/>
      <c r="G31" s="6"/>
      <c r="H31" s="6"/>
      <c r="I31" s="6"/>
      <c r="J31" s="6"/>
      <c r="K31" s="4" t="str">
        <f aca="false">IF(B31="","",SUM(E31:J31))</f>
        <v/>
      </c>
      <c r="L31" s="4" t="str">
        <f aca="false">IF(B31="","",J31)</f>
        <v/>
      </c>
      <c r="M31" s="4" t="str">
        <f aca="false">IF(B31="","",1+COUNTIFS($B$5:$B$44,"&lt;&gt;",$K$5:$K$44,"&gt;"&amp;K31)+COUNTIFS($B$5:$B$44,"&lt;&gt;",$K$5:$K$44,K31,$L$5:$L$44,"&gt;"&amp;L31))</f>
        <v/>
      </c>
      <c r="N31" s="4" t="str">
        <f aca="false">IF(B31="","",1+COUNTIFS($C$5:$C$44,C31,$K$5:$K$44,"&gt;"&amp;K31)+COUNTIFS($C$5:$C$44,C31,$K$5:$K$44,K31,$L$5:$L$44,"&gt;"&amp;L31))</f>
        <v/>
      </c>
      <c r="O31" s="4" t="str">
        <f aca="false">IF(B31="","",IF(AND(N31=1,C31="V"),"Padelkoningin",IF(AND(N31=1,C31="M"),"Padelkoning",IF(M31-COUNTIFS($N$5:$N$44,1,$M$5:$M$44,"&lt;"&amp;M31)&lt;=2,"Nummer "&amp;(M31-COUNTIFS($N$5:$N$44,1,$M$5:$M$44,"&lt;"&amp;M31)+1)&amp;" padel",""))))</f>
        <v/>
      </c>
    </row>
    <row r="32" customFormat="false" ht="15" hidden="false" customHeight="false" outlineLevel="0" collapsed="false">
      <c r="A32" s="4" t="n">
        <v>28</v>
      </c>
      <c r="B32" s="5"/>
      <c r="C32" s="5"/>
      <c r="D32" s="5"/>
      <c r="E32" s="6"/>
      <c r="F32" s="6"/>
      <c r="G32" s="6"/>
      <c r="H32" s="6"/>
      <c r="I32" s="6"/>
      <c r="J32" s="6"/>
      <c r="K32" s="4" t="str">
        <f aca="false">IF(B32="","",SUM(E32:J32))</f>
        <v/>
      </c>
      <c r="L32" s="4" t="str">
        <f aca="false">IF(B32="","",J32)</f>
        <v/>
      </c>
      <c r="M32" s="4" t="str">
        <f aca="false">IF(B32="","",1+COUNTIFS($B$5:$B$44,"&lt;&gt;",$K$5:$K$44,"&gt;"&amp;K32)+COUNTIFS($B$5:$B$44,"&lt;&gt;",$K$5:$K$44,K32,$L$5:$L$44,"&gt;"&amp;L32))</f>
        <v/>
      </c>
      <c r="N32" s="4" t="str">
        <f aca="false">IF(B32="","",1+COUNTIFS($C$5:$C$44,C32,$K$5:$K$44,"&gt;"&amp;K32)+COUNTIFS($C$5:$C$44,C32,$K$5:$K$44,K32,$L$5:$L$44,"&gt;"&amp;L32))</f>
        <v/>
      </c>
      <c r="O32" s="4" t="str">
        <f aca="false">IF(B32="","",IF(AND(N32=1,C32="V"),"Padelkoningin",IF(AND(N32=1,C32="M"),"Padelkoning",IF(M32-COUNTIFS($N$5:$N$44,1,$M$5:$M$44,"&lt;"&amp;M32)&lt;=2,"Nummer "&amp;(M32-COUNTIFS($N$5:$N$44,1,$M$5:$M$44,"&lt;"&amp;M32)+1)&amp;" padel",""))))</f>
        <v/>
      </c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6"/>
      <c r="F33" s="6"/>
      <c r="G33" s="6"/>
      <c r="H33" s="6"/>
      <c r="I33" s="6"/>
      <c r="J33" s="6"/>
      <c r="K33" s="4" t="str">
        <f aca="false">IF(B33="","",SUM(E33:J33))</f>
        <v/>
      </c>
      <c r="L33" s="4" t="str">
        <f aca="false">IF(B33="","",J33)</f>
        <v/>
      </c>
      <c r="M33" s="4" t="str">
        <f aca="false">IF(B33="","",1+COUNTIFS($B$5:$B$44,"&lt;&gt;",$K$5:$K$44,"&gt;"&amp;K33)+COUNTIFS($B$5:$B$44,"&lt;&gt;",$K$5:$K$44,K33,$L$5:$L$44,"&gt;"&amp;L33))</f>
        <v/>
      </c>
      <c r="N33" s="4" t="str">
        <f aca="false">IF(B33="","",1+COUNTIFS($C$5:$C$44,C33,$K$5:$K$44,"&gt;"&amp;K33)+COUNTIFS($C$5:$C$44,C33,$K$5:$K$44,K33,$L$5:$L$44,"&gt;"&amp;L33))</f>
        <v/>
      </c>
      <c r="O33" s="4" t="str">
        <f aca="false">IF(B33="","",IF(AND(N33=1,C33="V"),"Padelkoningin",IF(AND(N33=1,C33="M"),"Padelkoning",IF(M33-COUNTIFS($N$5:$N$44,1,$M$5:$M$44,"&lt;"&amp;M33)&lt;=2,"Nummer "&amp;(M33-COUNTIFS($N$5:$N$44,1,$M$5:$M$44,"&lt;"&amp;M33)+1)&amp;" padel",""))))</f>
        <v/>
      </c>
    </row>
    <row r="34" customFormat="false" ht="15" hidden="false" customHeight="false" outlineLevel="0" collapsed="false">
      <c r="A34" s="4" t="n">
        <v>30</v>
      </c>
      <c r="B34" s="5"/>
      <c r="C34" s="5"/>
      <c r="D34" s="5"/>
      <c r="E34" s="6"/>
      <c r="F34" s="6"/>
      <c r="G34" s="6"/>
      <c r="H34" s="6"/>
      <c r="I34" s="6"/>
      <c r="J34" s="6"/>
      <c r="K34" s="4" t="str">
        <f aca="false">IF(B34="","",SUM(E34:J34))</f>
        <v/>
      </c>
      <c r="L34" s="4" t="str">
        <f aca="false">IF(B34="","",J34)</f>
        <v/>
      </c>
      <c r="M34" s="4" t="str">
        <f aca="false">IF(B34="","",1+COUNTIFS($B$5:$B$44,"&lt;&gt;",$K$5:$K$44,"&gt;"&amp;K34)+COUNTIFS($B$5:$B$44,"&lt;&gt;",$K$5:$K$44,K34,$L$5:$L$44,"&gt;"&amp;L34))</f>
        <v/>
      </c>
      <c r="N34" s="4" t="str">
        <f aca="false">IF(B34="","",1+COUNTIFS($C$5:$C$44,C34,$K$5:$K$44,"&gt;"&amp;K34)+COUNTIFS($C$5:$C$44,C34,$K$5:$K$44,K34,$L$5:$L$44,"&gt;"&amp;L34))</f>
        <v/>
      </c>
      <c r="O34" s="4" t="str">
        <f aca="false">IF(B34="","",IF(AND(N34=1,C34="V"),"Padelkoningin",IF(AND(N34=1,C34="M"),"Padelkoning",IF(M34-COUNTIFS($N$5:$N$44,1,$M$5:$M$44,"&lt;"&amp;M34)&lt;=2,"Nummer "&amp;(M34-COUNTIFS($N$5:$N$44,1,$M$5:$M$44,"&lt;"&amp;M34)+1)&amp;" padel",""))))</f>
        <v/>
      </c>
    </row>
    <row r="35" customFormat="false" ht="15" hidden="false" customHeight="false" outlineLevel="0" collapsed="false">
      <c r="A35" s="4" t="n">
        <v>31</v>
      </c>
      <c r="B35" s="5"/>
      <c r="C35" s="5"/>
      <c r="D35" s="5"/>
      <c r="E35" s="6"/>
      <c r="F35" s="6"/>
      <c r="G35" s="6"/>
      <c r="H35" s="6"/>
      <c r="I35" s="6"/>
      <c r="J35" s="6"/>
      <c r="K35" s="4" t="str">
        <f aca="false">IF(B35="","",SUM(E35:J35))</f>
        <v/>
      </c>
      <c r="L35" s="4" t="str">
        <f aca="false">IF(B35="","",J35)</f>
        <v/>
      </c>
      <c r="M35" s="4" t="str">
        <f aca="false">IF(B35="","",1+COUNTIFS($B$5:$B$44,"&lt;&gt;",$K$5:$K$44,"&gt;"&amp;K35)+COUNTIFS($B$5:$B$44,"&lt;&gt;",$K$5:$K$44,K35,$L$5:$L$44,"&gt;"&amp;L35))</f>
        <v/>
      </c>
      <c r="N35" s="4" t="str">
        <f aca="false">IF(B35="","",1+COUNTIFS($C$5:$C$44,C35,$K$5:$K$44,"&gt;"&amp;K35)+COUNTIFS($C$5:$C$44,C35,$K$5:$K$44,K35,$L$5:$L$44,"&gt;"&amp;L35))</f>
        <v/>
      </c>
      <c r="O35" s="4" t="str">
        <f aca="false">IF(B35="","",IF(AND(N35=1,C35="V"),"Padelkoningin",IF(AND(N35=1,C35="M"),"Padelkoning",IF(M35-COUNTIFS($N$5:$N$44,1,$M$5:$M$44,"&lt;"&amp;M35)&lt;=2,"Nummer "&amp;(M35-COUNTIFS($N$5:$N$44,1,$M$5:$M$44,"&lt;"&amp;M35)+1)&amp;" padel",""))))</f>
        <v/>
      </c>
    </row>
    <row r="36" customFormat="false" ht="15" hidden="false" customHeight="false" outlineLevel="0" collapsed="false">
      <c r="A36" s="4" t="n">
        <v>32</v>
      </c>
      <c r="B36" s="5"/>
      <c r="C36" s="5"/>
      <c r="D36" s="5"/>
      <c r="E36" s="6"/>
      <c r="F36" s="6"/>
      <c r="G36" s="6"/>
      <c r="H36" s="6"/>
      <c r="I36" s="6"/>
      <c r="J36" s="6"/>
      <c r="K36" s="4" t="str">
        <f aca="false">IF(B36="","",SUM(E36:J36))</f>
        <v/>
      </c>
      <c r="L36" s="4" t="str">
        <f aca="false">IF(B36="","",J36)</f>
        <v/>
      </c>
      <c r="M36" s="4" t="str">
        <f aca="false">IF(B36="","",1+COUNTIFS($B$5:$B$44,"&lt;&gt;",$K$5:$K$44,"&gt;"&amp;K36)+COUNTIFS($B$5:$B$44,"&lt;&gt;",$K$5:$K$44,K36,$L$5:$L$44,"&gt;"&amp;L36))</f>
        <v/>
      </c>
      <c r="N36" s="4" t="str">
        <f aca="false">IF(B36="","",1+COUNTIFS($C$5:$C$44,C36,$K$5:$K$44,"&gt;"&amp;K36)+COUNTIFS($C$5:$C$44,C36,$K$5:$K$44,K36,$L$5:$L$44,"&gt;"&amp;L36))</f>
        <v/>
      </c>
      <c r="O36" s="4" t="str">
        <f aca="false">IF(B36="","",IF(AND(N36=1,C36="V"),"Padelkoningin",IF(AND(N36=1,C36="M"),"Padelkoning",IF(M36-COUNTIFS($N$5:$N$44,1,$M$5:$M$44,"&lt;"&amp;M36)&lt;=2,"Nummer "&amp;(M36-COUNTIFS($N$5:$N$44,1,$M$5:$M$44,"&lt;"&amp;M36)+1)&amp;" padel",""))))</f>
        <v/>
      </c>
    </row>
    <row r="37" customFormat="false" ht="15" hidden="false" customHeight="false" outlineLevel="0" collapsed="false">
      <c r="A37" s="4" t="n">
        <v>33</v>
      </c>
      <c r="B37" s="5"/>
      <c r="C37" s="5"/>
      <c r="D37" s="5"/>
      <c r="E37" s="6"/>
      <c r="F37" s="6"/>
      <c r="G37" s="6"/>
      <c r="H37" s="6"/>
      <c r="I37" s="6"/>
      <c r="J37" s="6"/>
      <c r="K37" s="4" t="str">
        <f aca="false">IF(B37="","",SUM(E37:J37))</f>
        <v/>
      </c>
      <c r="L37" s="4" t="str">
        <f aca="false">IF(B37="","",J37)</f>
        <v/>
      </c>
      <c r="M37" s="4" t="str">
        <f aca="false">IF(B37="","",1+COUNTIFS($B$5:$B$44,"&lt;&gt;",$K$5:$K$44,"&gt;"&amp;K37)+COUNTIFS($B$5:$B$44,"&lt;&gt;",$K$5:$K$44,K37,$L$5:$L$44,"&gt;"&amp;L37))</f>
        <v/>
      </c>
      <c r="N37" s="4" t="str">
        <f aca="false">IF(B37="","",1+COUNTIFS($C$5:$C$44,C37,$K$5:$K$44,"&gt;"&amp;K37)+COUNTIFS($C$5:$C$44,C37,$K$5:$K$44,K37,$L$5:$L$44,"&gt;"&amp;L37))</f>
        <v/>
      </c>
      <c r="O37" s="4" t="str">
        <f aca="false">IF(B37="","",IF(AND(N37=1,C37="V"),"Padelkoningin",IF(AND(N37=1,C37="M"),"Padelkoning",IF(M37-COUNTIFS($N$5:$N$44,1,$M$5:$M$44,"&lt;"&amp;M37)&lt;=2,"Nummer "&amp;(M37-COUNTIFS($N$5:$N$44,1,$M$5:$M$44,"&lt;"&amp;M37)+1)&amp;" padel",""))))</f>
        <v/>
      </c>
    </row>
    <row r="38" customFormat="false" ht="15" hidden="false" customHeight="false" outlineLevel="0" collapsed="false">
      <c r="A38" s="4" t="n">
        <v>34</v>
      </c>
      <c r="B38" s="5"/>
      <c r="C38" s="5"/>
      <c r="D38" s="5"/>
      <c r="E38" s="6"/>
      <c r="F38" s="6"/>
      <c r="G38" s="6"/>
      <c r="H38" s="6"/>
      <c r="I38" s="6"/>
      <c r="J38" s="6"/>
      <c r="K38" s="4" t="str">
        <f aca="false">IF(B38="","",SUM(E38:J38))</f>
        <v/>
      </c>
      <c r="L38" s="4" t="str">
        <f aca="false">IF(B38="","",J38)</f>
        <v/>
      </c>
      <c r="M38" s="4" t="str">
        <f aca="false">IF(B38="","",1+COUNTIFS($B$5:$B$44,"&lt;&gt;",$K$5:$K$44,"&gt;"&amp;K38)+COUNTIFS($B$5:$B$44,"&lt;&gt;",$K$5:$K$44,K38,$L$5:$L$44,"&gt;"&amp;L38))</f>
        <v/>
      </c>
      <c r="N38" s="4" t="str">
        <f aca="false">IF(B38="","",1+COUNTIFS($C$5:$C$44,C38,$K$5:$K$44,"&gt;"&amp;K38)+COUNTIFS($C$5:$C$44,C38,$K$5:$K$44,K38,$L$5:$L$44,"&gt;"&amp;L38))</f>
        <v/>
      </c>
      <c r="O38" s="4" t="str">
        <f aca="false">IF(B38="","",IF(AND(N38=1,C38="V"),"Padelkoningin",IF(AND(N38=1,C38="M"),"Padelkoning",IF(M38-COUNTIFS($N$5:$N$44,1,$M$5:$M$44,"&lt;"&amp;M38)&lt;=2,"Nummer "&amp;(M38-COUNTIFS($N$5:$N$44,1,$M$5:$M$44,"&lt;"&amp;M38)+1)&amp;" padel",""))))</f>
        <v/>
      </c>
    </row>
    <row r="39" customFormat="false" ht="15" hidden="false" customHeight="false" outlineLevel="0" collapsed="false">
      <c r="A39" s="4" t="n">
        <v>35</v>
      </c>
      <c r="B39" s="5"/>
      <c r="C39" s="5"/>
      <c r="D39" s="5"/>
      <c r="E39" s="6"/>
      <c r="F39" s="6"/>
      <c r="G39" s="6"/>
      <c r="H39" s="6"/>
      <c r="I39" s="6"/>
      <c r="J39" s="6"/>
      <c r="K39" s="4" t="str">
        <f aca="false">IF(B39="","",SUM(E39:J39))</f>
        <v/>
      </c>
      <c r="L39" s="4" t="str">
        <f aca="false">IF(B39="","",J39)</f>
        <v/>
      </c>
      <c r="M39" s="4" t="str">
        <f aca="false">IF(B39="","",1+COUNTIFS($B$5:$B$44,"&lt;&gt;",$K$5:$K$44,"&gt;"&amp;K39)+COUNTIFS($B$5:$B$44,"&lt;&gt;",$K$5:$K$44,K39,$L$5:$L$44,"&gt;"&amp;L39))</f>
        <v/>
      </c>
      <c r="N39" s="4" t="str">
        <f aca="false">IF(B39="","",1+COUNTIFS($C$5:$C$44,C39,$K$5:$K$44,"&gt;"&amp;K39)+COUNTIFS($C$5:$C$44,C39,$K$5:$K$44,K39,$L$5:$L$44,"&gt;"&amp;L39))</f>
        <v/>
      </c>
      <c r="O39" s="4" t="str">
        <f aca="false">IF(B39="","",IF(AND(N39=1,C39="V"),"Padelkoningin",IF(AND(N39=1,C39="M"),"Padelkoning",IF(M39-COUNTIFS($N$5:$N$44,1,$M$5:$M$44,"&lt;"&amp;M39)&lt;=2,"Nummer "&amp;(M39-COUNTIFS($N$5:$N$44,1,$M$5:$M$44,"&lt;"&amp;M39)+1)&amp;" padel",""))))</f>
        <v/>
      </c>
    </row>
    <row r="40" customFormat="false" ht="15" hidden="false" customHeight="false" outlineLevel="0" collapsed="false">
      <c r="A40" s="4" t="n">
        <v>36</v>
      </c>
      <c r="B40" s="5"/>
      <c r="C40" s="5"/>
      <c r="D40" s="5"/>
      <c r="E40" s="6"/>
      <c r="F40" s="6"/>
      <c r="G40" s="6"/>
      <c r="H40" s="6"/>
      <c r="I40" s="6"/>
      <c r="J40" s="6"/>
      <c r="K40" s="4" t="str">
        <f aca="false">IF(B40="","",SUM(E40:J40))</f>
        <v/>
      </c>
      <c r="L40" s="4" t="str">
        <f aca="false">IF(B40="","",J40)</f>
        <v/>
      </c>
      <c r="M40" s="4" t="str">
        <f aca="false">IF(B40="","",1+COUNTIFS($B$5:$B$44,"&lt;&gt;",$K$5:$K$44,"&gt;"&amp;K40)+COUNTIFS($B$5:$B$44,"&lt;&gt;",$K$5:$K$44,K40,$L$5:$L$44,"&gt;"&amp;L40))</f>
        <v/>
      </c>
      <c r="N40" s="4" t="str">
        <f aca="false">IF(B40="","",1+COUNTIFS($C$5:$C$44,C40,$K$5:$K$44,"&gt;"&amp;K40)+COUNTIFS($C$5:$C$44,C40,$K$5:$K$44,K40,$L$5:$L$44,"&gt;"&amp;L40))</f>
        <v/>
      </c>
      <c r="O40" s="4" t="str">
        <f aca="false">IF(B40="","",IF(AND(N40=1,C40="V"),"Padelkoningin",IF(AND(N40=1,C40="M"),"Padelkoning",IF(M40-COUNTIFS($N$5:$N$44,1,$M$5:$M$44,"&lt;"&amp;M40)&lt;=2,"Nummer "&amp;(M40-COUNTIFS($N$5:$N$44,1,$M$5:$M$44,"&lt;"&amp;M40)+1)&amp;" padel",""))))</f>
        <v/>
      </c>
    </row>
    <row r="41" customFormat="false" ht="15" hidden="false" customHeight="false" outlineLevel="0" collapsed="false">
      <c r="A41" s="4" t="n">
        <v>37</v>
      </c>
      <c r="B41" s="5"/>
      <c r="C41" s="5"/>
      <c r="D41" s="5"/>
      <c r="E41" s="6"/>
      <c r="F41" s="6"/>
      <c r="G41" s="6"/>
      <c r="H41" s="6"/>
      <c r="I41" s="6"/>
      <c r="J41" s="6"/>
      <c r="K41" s="4" t="str">
        <f aca="false">IF(B41="","",SUM(E41:J41))</f>
        <v/>
      </c>
      <c r="L41" s="4" t="str">
        <f aca="false">IF(B41="","",J41)</f>
        <v/>
      </c>
      <c r="M41" s="4" t="str">
        <f aca="false">IF(B41="","",1+COUNTIFS($B$5:$B$44,"&lt;&gt;",$K$5:$K$44,"&gt;"&amp;K41)+COUNTIFS($B$5:$B$44,"&lt;&gt;",$K$5:$K$44,K41,$L$5:$L$44,"&gt;"&amp;L41))</f>
        <v/>
      </c>
      <c r="N41" s="4" t="str">
        <f aca="false">IF(B41="","",1+COUNTIFS($C$5:$C$44,C41,$K$5:$K$44,"&gt;"&amp;K41)+COUNTIFS($C$5:$C$44,C41,$K$5:$K$44,K41,$L$5:$L$44,"&gt;"&amp;L41))</f>
        <v/>
      </c>
      <c r="O41" s="4" t="str">
        <f aca="false">IF(B41="","",IF(AND(N41=1,C41="V"),"Padelkoningin",IF(AND(N41=1,C41="M"),"Padelkoning",IF(M41-COUNTIFS($N$5:$N$44,1,$M$5:$M$44,"&lt;"&amp;M41)&lt;=2,"Nummer "&amp;(M41-COUNTIFS($N$5:$N$44,1,$M$5:$M$44,"&lt;"&amp;M41)+1)&amp;" padel",""))))</f>
        <v/>
      </c>
    </row>
    <row r="42" customFormat="false" ht="15" hidden="false" customHeight="false" outlineLevel="0" collapsed="false">
      <c r="A42" s="4" t="n">
        <v>38</v>
      </c>
      <c r="B42" s="5"/>
      <c r="C42" s="5"/>
      <c r="D42" s="5"/>
      <c r="E42" s="6"/>
      <c r="F42" s="6"/>
      <c r="G42" s="6"/>
      <c r="H42" s="6"/>
      <c r="I42" s="6"/>
      <c r="J42" s="6"/>
      <c r="K42" s="4" t="str">
        <f aca="false">IF(B42="","",SUM(E42:J42))</f>
        <v/>
      </c>
      <c r="L42" s="4" t="str">
        <f aca="false">IF(B42="","",J42)</f>
        <v/>
      </c>
      <c r="M42" s="4" t="str">
        <f aca="false">IF(B42="","",1+COUNTIFS($B$5:$B$44,"&lt;&gt;",$K$5:$K$44,"&gt;"&amp;K42)+COUNTIFS($B$5:$B$44,"&lt;&gt;",$K$5:$K$44,K42,$L$5:$L$44,"&gt;"&amp;L42))</f>
        <v/>
      </c>
      <c r="N42" s="4" t="str">
        <f aca="false">IF(B42="","",1+COUNTIFS($C$5:$C$44,C42,$K$5:$K$44,"&gt;"&amp;K42)+COUNTIFS($C$5:$C$44,C42,$K$5:$K$44,K42,$L$5:$L$44,"&gt;"&amp;L42))</f>
        <v/>
      </c>
      <c r="O42" s="4" t="str">
        <f aca="false">IF(B42="","",IF(AND(N42=1,C42="V"),"Padelkoningin",IF(AND(N42=1,C42="M"),"Padelkoning",IF(M42-COUNTIFS($N$5:$N$44,1,$M$5:$M$44,"&lt;"&amp;M42)&lt;=2,"Nummer "&amp;(M42-COUNTIFS($N$5:$N$44,1,$M$5:$M$44,"&lt;"&amp;M42)+1)&amp;" padel",""))))</f>
        <v/>
      </c>
    </row>
    <row r="43" customFormat="false" ht="15" hidden="false" customHeight="false" outlineLevel="0" collapsed="false">
      <c r="A43" s="4" t="n">
        <v>39</v>
      </c>
      <c r="B43" s="5"/>
      <c r="C43" s="5"/>
      <c r="D43" s="5"/>
      <c r="E43" s="6"/>
      <c r="F43" s="6"/>
      <c r="G43" s="6"/>
      <c r="H43" s="6"/>
      <c r="I43" s="6"/>
      <c r="J43" s="6"/>
      <c r="K43" s="4" t="str">
        <f aca="false">IF(B43="","",SUM(E43:J43))</f>
        <v/>
      </c>
      <c r="L43" s="4" t="str">
        <f aca="false">IF(B43="","",J43)</f>
        <v/>
      </c>
      <c r="M43" s="4" t="str">
        <f aca="false">IF(B43="","",1+COUNTIFS($B$5:$B$44,"&lt;&gt;",$K$5:$K$44,"&gt;"&amp;K43)+COUNTIFS($B$5:$B$44,"&lt;&gt;",$K$5:$K$44,K43,$L$5:$L$44,"&gt;"&amp;L43))</f>
        <v/>
      </c>
      <c r="N43" s="4" t="str">
        <f aca="false">IF(B43="","",1+COUNTIFS($C$5:$C$44,C43,$K$5:$K$44,"&gt;"&amp;K43)+COUNTIFS($C$5:$C$44,C43,$K$5:$K$44,K43,$L$5:$L$44,"&gt;"&amp;L43))</f>
        <v/>
      </c>
      <c r="O43" s="4" t="str">
        <f aca="false">IF(B43="","",IF(AND(N43=1,C43="V"),"Padelkoningin",IF(AND(N43=1,C43="M"),"Padelkoning",IF(M43-COUNTIFS($N$5:$N$44,1,$M$5:$M$44,"&lt;"&amp;M43)&lt;=2,"Nummer "&amp;(M43-COUNTIFS($N$5:$N$44,1,$M$5:$M$44,"&lt;"&amp;M43)+1)&amp;" padel",""))))</f>
        <v/>
      </c>
    </row>
    <row r="44" customFormat="false" ht="15" hidden="false" customHeight="false" outlineLevel="0" collapsed="false">
      <c r="A44" s="4" t="n">
        <v>40</v>
      </c>
      <c r="B44" s="5"/>
      <c r="C44" s="5"/>
      <c r="D44" s="5"/>
      <c r="E44" s="6"/>
      <c r="F44" s="6"/>
      <c r="G44" s="6"/>
      <c r="H44" s="6"/>
      <c r="I44" s="6"/>
      <c r="J44" s="6"/>
      <c r="K44" s="4" t="str">
        <f aca="false">IF(B44="","",SUM(E44:J44))</f>
        <v/>
      </c>
      <c r="L44" s="4" t="str">
        <f aca="false">IF(B44="","",J44)</f>
        <v/>
      </c>
      <c r="M44" s="4" t="str">
        <f aca="false">IF(B44="","",1+COUNTIFS($B$5:$B$44,"&lt;&gt;",$K$5:$K$44,"&gt;"&amp;K44)+COUNTIFS($B$5:$B$44,"&lt;&gt;",$K$5:$K$44,K44,$L$5:$L$44,"&gt;"&amp;L44))</f>
        <v/>
      </c>
      <c r="N44" s="4" t="str">
        <f aca="false">IF(B44="","",1+COUNTIFS($C$5:$C$44,C44,$K$5:$K$44,"&gt;"&amp;K44)+COUNTIFS($C$5:$C$44,C44,$K$5:$K$44,K44,$L$5:$L$44,"&gt;"&amp;L44))</f>
        <v/>
      </c>
      <c r="O44" s="4" t="str">
        <f aca="false">IF(B44="","",IF(AND(N44=1,C44="V"),"Padelkoningin",IF(AND(N44=1,C44="M"),"Padelkoning",IF(M44-COUNTIFS($N$5:$N$44,1,$M$5:$M$44,"&lt;"&amp;M44)&lt;=2,"Nummer "&amp;(M44-COUNTIFS($N$5:$N$44,1,$M$5:$M$44,"&lt;"&amp;M44)+1)&amp;" padel",""))))</f>
        <v/>
      </c>
    </row>
    <row r="46" customFormat="false" ht="15" hidden="false" customHeight="false" outlineLevel="0" collapsed="false">
      <c r="A46" s="7" t="s">
        <v>17</v>
      </c>
    </row>
    <row r="47" customFormat="false" ht="15" hidden="false" customHeight="false" outlineLevel="0" collapsed="false">
      <c r="A47" s="2" t="s">
        <v>18</v>
      </c>
    </row>
    <row r="48" customFormat="false" ht="15" hidden="false" customHeight="false" outlineLevel="0" collapsed="false">
      <c r="A48" s="2" t="s">
        <v>19</v>
      </c>
    </row>
    <row r="49" customFormat="false" ht="15" hidden="false" customHeight="false" outlineLevel="0" collapsed="false">
      <c r="A49" s="2" t="s">
        <v>20</v>
      </c>
    </row>
    <row r="50" customFormat="false" ht="15" hidden="false" customHeight="false" outlineLevel="0" collapsed="false">
      <c r="A50" s="2" t="s">
        <v>21</v>
      </c>
    </row>
    <row r="52" customFormat="false" ht="15" hidden="false" customHeight="false" outlineLevel="0" collapsed="false">
      <c r="A52" s="7" t="s">
        <v>22</v>
      </c>
      <c r="B52" s="8"/>
    </row>
  </sheetData>
  <conditionalFormatting sqref="O5:O44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9"/>
    <col collapsed="false" customWidth="true" hidden="false" outlineLevel="0" max="12" min="9" style="0" width="8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17" min="17" style="0" width="30"/>
    <col collapsed="false" customWidth="true" hidden="false" outlineLevel="0" max="19" min="18" style="0" width="10"/>
    <col collapsed="false" customWidth="true" hidden="false" outlineLevel="0" max="20" min="20" style="0" width="3"/>
    <col collapsed="false" customWidth="true" hidden="false" outlineLevel="0" max="21" min="21" style="0" width="18"/>
    <col collapsed="false" customWidth="true" hidden="false" outlineLevel="0" max="22" min="22" style="0" width="10"/>
    <col collapsed="false" customWidth="true" hidden="false" outlineLevel="0" max="25" min="23" style="0" width="9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U3" s="7" t="s">
        <v>25</v>
      </c>
      <c r="V3" s="8" t="n">
        <v>343121</v>
      </c>
    </row>
    <row r="4" customFormat="false" ht="31.5" hidden="false" customHeight="true" outlineLevel="0" collapsed="false">
      <c r="A4" s="9" t="s">
        <v>26</v>
      </c>
      <c r="B4" s="9" t="s">
        <v>27</v>
      </c>
      <c r="C4" s="9" t="s">
        <v>28</v>
      </c>
      <c r="D4" s="9" t="s">
        <v>6</v>
      </c>
      <c r="E4" s="9" t="s">
        <v>29</v>
      </c>
      <c r="F4" s="9" t="s">
        <v>30</v>
      </c>
      <c r="G4" s="9" t="s">
        <v>9</v>
      </c>
      <c r="H4" s="9" t="s">
        <v>31</v>
      </c>
      <c r="I4" s="9" t="s">
        <v>32</v>
      </c>
      <c r="J4" s="9" t="s">
        <v>33</v>
      </c>
      <c r="K4" s="9" t="s">
        <v>34</v>
      </c>
      <c r="L4" s="9" t="s">
        <v>12</v>
      </c>
      <c r="M4" s="9" t="s">
        <v>35</v>
      </c>
      <c r="N4" s="9" t="s">
        <v>36</v>
      </c>
      <c r="O4" s="9" t="s">
        <v>37</v>
      </c>
      <c r="P4" s="9" t="s">
        <v>14</v>
      </c>
      <c r="Q4" s="9" t="s">
        <v>16</v>
      </c>
      <c r="R4" s="9" t="s">
        <v>38</v>
      </c>
      <c r="S4" s="9" t="s">
        <v>39</v>
      </c>
      <c r="U4" s="7" t="s">
        <v>40</v>
      </c>
      <c r="V4" s="8" t="n">
        <v>2</v>
      </c>
      <c r="W4" s="2" t="s">
        <v>41</v>
      </c>
      <c r="X4" s="2" t="s">
        <v>42</v>
      </c>
      <c r="Y4" s="2" t="s">
        <v>43</v>
      </c>
    </row>
    <row r="5" customFormat="false" ht="15" hidden="false" customHeight="false" outlineLevel="0" collapsed="false">
      <c r="A5" s="4" t="n">
        <v>1</v>
      </c>
      <c r="B5" s="5"/>
      <c r="C5" s="5"/>
      <c r="D5" s="6"/>
      <c r="E5" s="6"/>
      <c r="F5" s="6"/>
      <c r="G5" s="6"/>
      <c r="H5" s="6"/>
      <c r="I5" s="6"/>
      <c r="J5" s="6"/>
      <c r="K5" s="4" t="str">
        <f aca="false">IF(B5="","",IF(J5=1,0,IF(I5=8,12,I5)))</f>
        <v/>
      </c>
      <c r="L5" s="4" t="str">
        <f aca="false">IF(B5="","",SUM(D5:H5)+K5+IF(C5=1,D5,IF(C5=2,E5,IF(C5=3,F5,IF(C5=4,G5,IF(C5=5,H5,0))))))</f>
        <v/>
      </c>
      <c r="M5" s="5"/>
      <c r="N5" s="4" t="str">
        <f aca="false">IF(M5="","",ABS(M5-$V$3))</f>
        <v/>
      </c>
      <c r="O5" s="5"/>
      <c r="P5" s="4" t="str">
        <f aca="false">IF(B5="","",1+COUNTIFS($B$5:$B$16,"&lt;&gt;",$L$5:$L$16,"&gt;"&amp;L5)+COUNTIFS($B$5:$B$16,"&lt;&gt;",$L$5:$L$16,L5,$N$5:$N$16,"&lt;"&amp;N5))</f>
        <v/>
      </c>
      <c r="Q5" s="4" t="str">
        <f aca="false">IF(B5="","",IF(P5=1,"Kampioenen",IF(P5=2,"Nummer 2",IF(P5=3,"Nummer 3",IF(P5=COUNTIF($B$5:$B$16,"&lt;&gt;"),"Poedelprijs","")))))&amp;IF(AND(B5&lt;&gt;"",K5=12)," + wipeout-bonus","")&amp;IF(AND(B5&lt;&gt;"",O5=1,COUNTIF($O$5:$O$16,1)=1)," + JACKPOT","")&amp;IF(AND(B5&lt;&gt;"",O5=1,COUNTIF($O$5:$O$16,1)&gt;1,W5=MIN($W$5:$W$16))," + JACKPOT (tiebreak)","")</f>
        <v/>
      </c>
      <c r="R5" s="5"/>
      <c r="S5" s="5"/>
      <c r="W5" s="2" t="n">
        <f aca="false">IF(AND(B5&lt;&gt;"",O5=1,N5&lt;&gt;""),N5,999999999)</f>
        <v>999999999</v>
      </c>
      <c r="X5" s="2" t="n">
        <f aca="false">IF(AND(B5&lt;&gt;"",E5&lt;&gt;""),E5*1000-IF(R5="",999,R5),-1)</f>
        <v>-1</v>
      </c>
      <c r="Y5" s="2" t="n">
        <f aca="false">IF(AND(B5&lt;&gt;"",F5&lt;&gt;""),F5*1000-IF(S5="",999,S5),-1)</f>
        <v>-1</v>
      </c>
    </row>
    <row r="6" customFormat="false" ht="15" hidden="false" customHeight="false" outlineLevel="0" collapsed="false">
      <c r="A6" s="4" t="n">
        <v>2</v>
      </c>
      <c r="B6" s="5"/>
      <c r="C6" s="5"/>
      <c r="D6" s="6"/>
      <c r="E6" s="6"/>
      <c r="F6" s="6"/>
      <c r="G6" s="6"/>
      <c r="H6" s="6"/>
      <c r="I6" s="6"/>
      <c r="J6" s="6"/>
      <c r="K6" s="4" t="str">
        <f aca="false">IF(B6="","",IF(J6=1,0,IF(I6=8,12,I6)))</f>
        <v/>
      </c>
      <c r="L6" s="4" t="str">
        <f aca="false">IF(B6="","",SUM(D6:H6)+K6+IF(C6=1,D6,IF(C6=2,E6,IF(C6=3,F6,IF(C6=4,G6,IF(C6=5,H6,0))))))</f>
        <v/>
      </c>
      <c r="M6" s="5"/>
      <c r="N6" s="4" t="str">
        <f aca="false">IF(M6="","",ABS(M6-$V$3))</f>
        <v/>
      </c>
      <c r="O6" s="5"/>
      <c r="P6" s="4" t="str">
        <f aca="false">IF(B6="","",1+COUNTIFS($B$5:$B$16,"&lt;&gt;",$L$5:$L$16,"&gt;"&amp;L6)+COUNTIFS($B$5:$B$16,"&lt;&gt;",$L$5:$L$16,L6,$N$5:$N$16,"&lt;"&amp;N6))</f>
        <v/>
      </c>
      <c r="Q6" s="4" t="str">
        <f aca="false">IF(B6="","",IF(P6=1,"Kampioenen",IF(P6=2,"Nummer 2",IF(P6=3,"Nummer 3",IF(P6=COUNTIF($B$5:$B$16,"&lt;&gt;"),"Poedelprijs","")))))&amp;IF(AND(B6&lt;&gt;"",K6=12)," + wipeout-bonus","")&amp;IF(AND(B6&lt;&gt;"",O6=1,COUNTIF($O$5:$O$16,1)=1)," + JACKPOT","")&amp;IF(AND(B6&lt;&gt;"",O6=1,COUNTIF($O$5:$O$16,1)&gt;1,W6=MIN($W$5:$W$16))," + JACKPOT (tiebreak)","")</f>
        <v/>
      </c>
      <c r="R6" s="5"/>
      <c r="S6" s="5"/>
      <c r="W6" s="2" t="n">
        <f aca="false">IF(AND(B6&lt;&gt;"",O6=1,N6&lt;&gt;""),N6,999999999)</f>
        <v>999999999</v>
      </c>
      <c r="X6" s="2" t="n">
        <f aca="false">IF(AND(B6&lt;&gt;"",E6&lt;&gt;""),E6*1000-IF(R6="",999,R6),-1)</f>
        <v>-1</v>
      </c>
      <c r="Y6" s="2" t="n">
        <f aca="false">IF(AND(B6&lt;&gt;"",F6&lt;&gt;""),F6*1000-IF(S6="",999,S6),-1)</f>
        <v>-1</v>
      </c>
    </row>
    <row r="7" customFormat="false" ht="15" hidden="false" customHeight="false" outlineLevel="0" collapsed="false">
      <c r="A7" s="4" t="n">
        <v>3</v>
      </c>
      <c r="B7" s="5"/>
      <c r="C7" s="5"/>
      <c r="D7" s="6"/>
      <c r="E7" s="6"/>
      <c r="F7" s="6"/>
      <c r="G7" s="6"/>
      <c r="H7" s="6"/>
      <c r="I7" s="6"/>
      <c r="J7" s="6"/>
      <c r="K7" s="4" t="str">
        <f aca="false">IF(B7="","",IF(J7=1,0,IF(I7=8,12,I7)))</f>
        <v/>
      </c>
      <c r="L7" s="4" t="str">
        <f aca="false">IF(B7="","",SUM(D7:H7)+K7+IF(C7=1,D7,IF(C7=2,E7,IF(C7=3,F7,IF(C7=4,G7,IF(C7=5,H7,0))))))</f>
        <v/>
      </c>
      <c r="M7" s="5"/>
      <c r="N7" s="4" t="str">
        <f aca="false">IF(M7="","",ABS(M7-$V$3))</f>
        <v/>
      </c>
      <c r="O7" s="5"/>
      <c r="P7" s="4" t="str">
        <f aca="false">IF(B7="","",1+COUNTIFS($B$5:$B$16,"&lt;&gt;",$L$5:$L$16,"&gt;"&amp;L7)+COUNTIFS($B$5:$B$16,"&lt;&gt;",$L$5:$L$16,L7,$N$5:$N$16,"&lt;"&amp;N7))</f>
        <v/>
      </c>
      <c r="Q7" s="4" t="str">
        <f aca="false">IF(B7="","",IF(P7=1,"Kampioenen",IF(P7=2,"Nummer 2",IF(P7=3,"Nummer 3",IF(P7=COUNTIF($B$5:$B$16,"&lt;&gt;"),"Poedelprijs","")))))&amp;IF(AND(B7&lt;&gt;"",K7=12)," + wipeout-bonus","")&amp;IF(AND(B7&lt;&gt;"",O7=1,COUNTIF($O$5:$O$16,1)=1)," + JACKPOT","")&amp;IF(AND(B7&lt;&gt;"",O7=1,COUNTIF($O$5:$O$16,1)&gt;1,W7=MIN($W$5:$W$16))," + JACKPOT (tiebreak)","")</f>
        <v/>
      </c>
      <c r="R7" s="5"/>
      <c r="S7" s="5"/>
      <c r="W7" s="2" t="n">
        <f aca="false">IF(AND(B7&lt;&gt;"",O7=1,N7&lt;&gt;""),N7,999999999)</f>
        <v>999999999</v>
      </c>
      <c r="X7" s="2" t="n">
        <f aca="false">IF(AND(B7&lt;&gt;"",E7&lt;&gt;""),E7*1000-IF(R7="",999,R7),-1)</f>
        <v>-1</v>
      </c>
      <c r="Y7" s="2" t="n">
        <f aca="false">IF(AND(B7&lt;&gt;"",F7&lt;&gt;""),F7*1000-IF(S7="",999,S7),-1)</f>
        <v>-1</v>
      </c>
    </row>
    <row r="8" customFormat="false" ht="15" hidden="false" customHeight="false" outlineLevel="0" collapsed="false">
      <c r="A8" s="4" t="n">
        <v>4</v>
      </c>
      <c r="B8" s="5"/>
      <c r="C8" s="5"/>
      <c r="D8" s="6"/>
      <c r="E8" s="6"/>
      <c r="F8" s="6"/>
      <c r="G8" s="6"/>
      <c r="H8" s="6"/>
      <c r="I8" s="6"/>
      <c r="J8" s="6"/>
      <c r="K8" s="4" t="str">
        <f aca="false">IF(B8="","",IF(J8=1,0,IF(I8=8,12,I8)))</f>
        <v/>
      </c>
      <c r="L8" s="4" t="str">
        <f aca="false">IF(B8="","",SUM(D8:H8)+K8+IF(C8=1,D8,IF(C8=2,E8,IF(C8=3,F8,IF(C8=4,G8,IF(C8=5,H8,0))))))</f>
        <v/>
      </c>
      <c r="M8" s="5"/>
      <c r="N8" s="4" t="str">
        <f aca="false">IF(M8="","",ABS(M8-$V$3))</f>
        <v/>
      </c>
      <c r="O8" s="5"/>
      <c r="P8" s="4" t="str">
        <f aca="false">IF(B8="","",1+COUNTIFS($B$5:$B$16,"&lt;&gt;",$L$5:$L$16,"&gt;"&amp;L8)+COUNTIFS($B$5:$B$16,"&lt;&gt;",$L$5:$L$16,L8,$N$5:$N$16,"&lt;"&amp;N8))</f>
        <v/>
      </c>
      <c r="Q8" s="4" t="str">
        <f aca="false">IF(B8="","",IF(P8=1,"Kampioenen",IF(P8=2,"Nummer 2",IF(P8=3,"Nummer 3",IF(P8=COUNTIF($B$5:$B$16,"&lt;&gt;"),"Poedelprijs","")))))&amp;IF(AND(B8&lt;&gt;"",K8=12)," + wipeout-bonus","")&amp;IF(AND(B8&lt;&gt;"",O8=1,COUNTIF($O$5:$O$16,1)=1)," + JACKPOT","")&amp;IF(AND(B8&lt;&gt;"",O8=1,COUNTIF($O$5:$O$16,1)&gt;1,W8=MIN($W$5:$W$16))," + JACKPOT (tiebreak)","")</f>
        <v/>
      </c>
      <c r="R8" s="5"/>
      <c r="S8" s="5"/>
      <c r="W8" s="2" t="n">
        <f aca="false">IF(AND(B8&lt;&gt;"",O8=1,N8&lt;&gt;""),N8,999999999)</f>
        <v>999999999</v>
      </c>
      <c r="X8" s="2" t="n">
        <f aca="false">IF(AND(B8&lt;&gt;"",E8&lt;&gt;""),E8*1000-IF(R8="",999,R8),-1)</f>
        <v>-1</v>
      </c>
      <c r="Y8" s="2" t="n">
        <f aca="false">IF(AND(B8&lt;&gt;"",F8&lt;&gt;""),F8*1000-IF(S8="",999,S8),-1)</f>
        <v>-1</v>
      </c>
    </row>
    <row r="9" customFormat="false" ht="15" hidden="false" customHeight="false" outlineLevel="0" collapsed="false">
      <c r="A9" s="4" t="n">
        <v>5</v>
      </c>
      <c r="B9" s="5"/>
      <c r="C9" s="5"/>
      <c r="D9" s="6"/>
      <c r="E9" s="6"/>
      <c r="F9" s="6"/>
      <c r="G9" s="6"/>
      <c r="H9" s="6"/>
      <c r="I9" s="6"/>
      <c r="J9" s="6"/>
      <c r="K9" s="4" t="str">
        <f aca="false">IF(B9="","",IF(J9=1,0,IF(I9=8,12,I9)))</f>
        <v/>
      </c>
      <c r="L9" s="4" t="str">
        <f aca="false">IF(B9="","",SUM(D9:H9)+K9+IF(C9=1,D9,IF(C9=2,E9,IF(C9=3,F9,IF(C9=4,G9,IF(C9=5,H9,0))))))</f>
        <v/>
      </c>
      <c r="M9" s="5"/>
      <c r="N9" s="4" t="str">
        <f aca="false">IF(M9="","",ABS(M9-$V$3))</f>
        <v/>
      </c>
      <c r="O9" s="5"/>
      <c r="P9" s="4" t="str">
        <f aca="false">IF(B9="","",1+COUNTIFS($B$5:$B$16,"&lt;&gt;",$L$5:$L$16,"&gt;"&amp;L9)+COUNTIFS($B$5:$B$16,"&lt;&gt;",$L$5:$L$16,L9,$N$5:$N$16,"&lt;"&amp;N9))</f>
        <v/>
      </c>
      <c r="Q9" s="4" t="str">
        <f aca="false">IF(B9="","",IF(P9=1,"Kampioenen",IF(P9=2,"Nummer 2",IF(P9=3,"Nummer 3",IF(P9=COUNTIF($B$5:$B$16,"&lt;&gt;"),"Poedelprijs","")))))&amp;IF(AND(B9&lt;&gt;"",K9=12)," + wipeout-bonus","")&amp;IF(AND(B9&lt;&gt;"",O9=1,COUNTIF($O$5:$O$16,1)=1)," + JACKPOT","")&amp;IF(AND(B9&lt;&gt;"",O9=1,COUNTIF($O$5:$O$16,1)&gt;1,W9=MIN($W$5:$W$16))," + JACKPOT (tiebreak)","")</f>
        <v/>
      </c>
      <c r="R9" s="5"/>
      <c r="S9" s="5"/>
      <c r="W9" s="2" t="n">
        <f aca="false">IF(AND(B9&lt;&gt;"",O9=1,N9&lt;&gt;""),N9,999999999)</f>
        <v>999999999</v>
      </c>
      <c r="X9" s="2" t="n">
        <f aca="false">IF(AND(B9&lt;&gt;"",E9&lt;&gt;""),E9*1000-IF(R9="",999,R9),-1)</f>
        <v>-1</v>
      </c>
      <c r="Y9" s="2" t="n">
        <f aca="false">IF(AND(B9&lt;&gt;"",F9&lt;&gt;""),F9*1000-IF(S9="",999,S9),-1)</f>
        <v>-1</v>
      </c>
    </row>
    <row r="10" customFormat="false" ht="15" hidden="false" customHeight="false" outlineLevel="0" collapsed="false">
      <c r="A10" s="4" t="n">
        <v>6</v>
      </c>
      <c r="B10" s="5"/>
      <c r="C10" s="5"/>
      <c r="D10" s="6"/>
      <c r="E10" s="6"/>
      <c r="F10" s="6"/>
      <c r="G10" s="6"/>
      <c r="H10" s="6"/>
      <c r="I10" s="6"/>
      <c r="J10" s="6"/>
      <c r="K10" s="4" t="str">
        <f aca="false">IF(B10="","",IF(J10=1,0,IF(I10=8,12,I10)))</f>
        <v/>
      </c>
      <c r="L10" s="4" t="str">
        <f aca="false">IF(B10="","",SUM(D10:H10)+K10+IF(C10=1,D10,IF(C10=2,E10,IF(C10=3,F10,IF(C10=4,G10,IF(C10=5,H10,0))))))</f>
        <v/>
      </c>
      <c r="M10" s="5"/>
      <c r="N10" s="4" t="str">
        <f aca="false">IF(M10="","",ABS(M10-$V$3))</f>
        <v/>
      </c>
      <c r="O10" s="5"/>
      <c r="P10" s="4" t="str">
        <f aca="false">IF(B10="","",1+COUNTIFS($B$5:$B$16,"&lt;&gt;",$L$5:$L$16,"&gt;"&amp;L10)+COUNTIFS($B$5:$B$16,"&lt;&gt;",$L$5:$L$16,L10,$N$5:$N$16,"&lt;"&amp;N10))</f>
        <v/>
      </c>
      <c r="Q10" s="4" t="str">
        <f aca="false">IF(B10="","",IF(P10=1,"Kampioenen",IF(P10=2,"Nummer 2",IF(P10=3,"Nummer 3",IF(P10=COUNTIF($B$5:$B$16,"&lt;&gt;"),"Poedelprijs","")))))&amp;IF(AND(B10&lt;&gt;"",K10=12)," + wipeout-bonus","")&amp;IF(AND(B10&lt;&gt;"",O10=1,COUNTIF($O$5:$O$16,1)=1)," + JACKPOT","")&amp;IF(AND(B10&lt;&gt;"",O10=1,COUNTIF($O$5:$O$16,1)&gt;1,W10=MIN($W$5:$W$16))," + JACKPOT (tiebreak)","")</f>
        <v/>
      </c>
      <c r="R10" s="5"/>
      <c r="S10" s="5"/>
      <c r="W10" s="2" t="n">
        <f aca="false">IF(AND(B10&lt;&gt;"",O10=1,N10&lt;&gt;""),N10,999999999)</f>
        <v>999999999</v>
      </c>
      <c r="X10" s="2" t="n">
        <f aca="false">IF(AND(B10&lt;&gt;"",E10&lt;&gt;""),E10*1000-IF(R10="",999,R10),-1)</f>
        <v>-1</v>
      </c>
      <c r="Y10" s="2" t="n">
        <f aca="false">IF(AND(B10&lt;&gt;"",F10&lt;&gt;""),F10*1000-IF(S10="",999,S10),-1)</f>
        <v>-1</v>
      </c>
    </row>
    <row r="11" customFormat="false" ht="15" hidden="false" customHeight="false" outlineLevel="0" collapsed="false">
      <c r="A11" s="4" t="n">
        <v>7</v>
      </c>
      <c r="B11" s="5"/>
      <c r="C11" s="5"/>
      <c r="D11" s="6"/>
      <c r="E11" s="6"/>
      <c r="F11" s="6"/>
      <c r="G11" s="6"/>
      <c r="H11" s="6"/>
      <c r="I11" s="6"/>
      <c r="J11" s="6"/>
      <c r="K11" s="4" t="str">
        <f aca="false">IF(B11="","",IF(J11=1,0,IF(I11=8,12,I11)))</f>
        <v/>
      </c>
      <c r="L11" s="4" t="str">
        <f aca="false">IF(B11="","",SUM(D11:H11)+K11+IF(C11=1,D11,IF(C11=2,E11,IF(C11=3,F11,IF(C11=4,G11,IF(C11=5,H11,0))))))</f>
        <v/>
      </c>
      <c r="M11" s="5"/>
      <c r="N11" s="4" t="str">
        <f aca="false">IF(M11="","",ABS(M11-$V$3))</f>
        <v/>
      </c>
      <c r="O11" s="5"/>
      <c r="P11" s="4" t="str">
        <f aca="false">IF(B11="","",1+COUNTIFS($B$5:$B$16,"&lt;&gt;",$L$5:$L$16,"&gt;"&amp;L11)+COUNTIFS($B$5:$B$16,"&lt;&gt;",$L$5:$L$16,L11,$N$5:$N$16,"&lt;"&amp;N11))</f>
        <v/>
      </c>
      <c r="Q11" s="4" t="str">
        <f aca="false">IF(B11="","",IF(P11=1,"Kampioenen",IF(P11=2,"Nummer 2",IF(P11=3,"Nummer 3",IF(P11=COUNTIF($B$5:$B$16,"&lt;&gt;"),"Poedelprijs","")))))&amp;IF(AND(B11&lt;&gt;"",K11=12)," + wipeout-bonus","")&amp;IF(AND(B11&lt;&gt;"",O11=1,COUNTIF($O$5:$O$16,1)=1)," + JACKPOT","")&amp;IF(AND(B11&lt;&gt;"",O11=1,COUNTIF($O$5:$O$16,1)&gt;1,W11=MIN($W$5:$W$16))," + JACKPOT (tiebreak)","")</f>
        <v/>
      </c>
      <c r="R11" s="5"/>
      <c r="S11" s="5"/>
      <c r="W11" s="2" t="n">
        <f aca="false">IF(AND(B11&lt;&gt;"",O11=1,N11&lt;&gt;""),N11,999999999)</f>
        <v>999999999</v>
      </c>
      <c r="X11" s="2" t="n">
        <f aca="false">IF(AND(B11&lt;&gt;"",E11&lt;&gt;""),E11*1000-IF(R11="",999,R11),-1)</f>
        <v>-1</v>
      </c>
      <c r="Y11" s="2" t="n">
        <f aca="false">IF(AND(B11&lt;&gt;"",F11&lt;&gt;""),F11*1000-IF(S11="",999,S11),-1)</f>
        <v>-1</v>
      </c>
    </row>
    <row r="12" customFormat="false" ht="15" hidden="false" customHeight="false" outlineLevel="0" collapsed="false">
      <c r="A12" s="4" t="n">
        <v>8</v>
      </c>
      <c r="B12" s="5"/>
      <c r="C12" s="5"/>
      <c r="D12" s="6"/>
      <c r="E12" s="6"/>
      <c r="F12" s="6"/>
      <c r="G12" s="6"/>
      <c r="H12" s="6"/>
      <c r="I12" s="6"/>
      <c r="J12" s="6"/>
      <c r="K12" s="4" t="str">
        <f aca="false">IF(B12="","",IF(J12=1,0,IF(I12=8,12,I12)))</f>
        <v/>
      </c>
      <c r="L12" s="4" t="str">
        <f aca="false">IF(B12="","",SUM(D12:H12)+K12+IF(C12=1,D12,IF(C12=2,E12,IF(C12=3,F12,IF(C12=4,G12,IF(C12=5,H12,0))))))</f>
        <v/>
      </c>
      <c r="M12" s="5"/>
      <c r="N12" s="4" t="str">
        <f aca="false">IF(M12="","",ABS(M12-$V$3))</f>
        <v/>
      </c>
      <c r="O12" s="5"/>
      <c r="P12" s="4" t="str">
        <f aca="false">IF(B12="","",1+COUNTIFS($B$5:$B$16,"&lt;&gt;",$L$5:$L$16,"&gt;"&amp;L12)+COUNTIFS($B$5:$B$16,"&lt;&gt;",$L$5:$L$16,L12,$N$5:$N$16,"&lt;"&amp;N12))</f>
        <v/>
      </c>
      <c r="Q12" s="4" t="str">
        <f aca="false">IF(B12="","",IF(P12=1,"Kampioenen",IF(P12=2,"Nummer 2",IF(P12=3,"Nummer 3",IF(P12=COUNTIF($B$5:$B$16,"&lt;&gt;"),"Poedelprijs","")))))&amp;IF(AND(B12&lt;&gt;"",K12=12)," + wipeout-bonus","")&amp;IF(AND(B12&lt;&gt;"",O12=1,COUNTIF($O$5:$O$16,1)=1)," + JACKPOT","")&amp;IF(AND(B12&lt;&gt;"",O12=1,COUNTIF($O$5:$O$16,1)&gt;1,W12=MIN($W$5:$W$16))," + JACKPOT (tiebreak)","")</f>
        <v/>
      </c>
      <c r="R12" s="5"/>
      <c r="S12" s="5"/>
      <c r="W12" s="2" t="n">
        <f aca="false">IF(AND(B12&lt;&gt;"",O12=1,N12&lt;&gt;""),N12,999999999)</f>
        <v>999999999</v>
      </c>
      <c r="X12" s="2" t="n">
        <f aca="false">IF(AND(B12&lt;&gt;"",E12&lt;&gt;""),E12*1000-IF(R12="",999,R12),-1)</f>
        <v>-1</v>
      </c>
      <c r="Y12" s="2" t="n">
        <f aca="false">IF(AND(B12&lt;&gt;"",F12&lt;&gt;""),F12*1000-IF(S12="",999,S12),-1)</f>
        <v>-1</v>
      </c>
    </row>
    <row r="13" customFormat="false" ht="15" hidden="false" customHeight="false" outlineLevel="0" collapsed="false">
      <c r="A13" s="4" t="n">
        <v>9</v>
      </c>
      <c r="B13" s="5"/>
      <c r="C13" s="5"/>
      <c r="D13" s="6"/>
      <c r="E13" s="6"/>
      <c r="F13" s="6"/>
      <c r="G13" s="6"/>
      <c r="H13" s="6"/>
      <c r="I13" s="6"/>
      <c r="J13" s="6"/>
      <c r="K13" s="4" t="str">
        <f aca="false">IF(B13="","",IF(J13=1,0,IF(I13=8,12,I13)))</f>
        <v/>
      </c>
      <c r="L13" s="4" t="str">
        <f aca="false">IF(B13="","",SUM(D13:H13)+K13+IF(C13=1,D13,IF(C13=2,E13,IF(C13=3,F13,IF(C13=4,G13,IF(C13=5,H13,0))))))</f>
        <v/>
      </c>
      <c r="M13" s="5"/>
      <c r="N13" s="4" t="str">
        <f aca="false">IF(M13="","",ABS(M13-$V$3))</f>
        <v/>
      </c>
      <c r="O13" s="5"/>
      <c r="P13" s="4" t="str">
        <f aca="false">IF(B13="","",1+COUNTIFS($B$5:$B$16,"&lt;&gt;",$L$5:$L$16,"&gt;"&amp;L13)+COUNTIFS($B$5:$B$16,"&lt;&gt;",$L$5:$L$16,L13,$N$5:$N$16,"&lt;"&amp;N13))</f>
        <v/>
      </c>
      <c r="Q13" s="4" t="str">
        <f aca="false">IF(B13="","",IF(P13=1,"Kampioenen",IF(P13=2,"Nummer 2",IF(P13=3,"Nummer 3",IF(P13=COUNTIF($B$5:$B$16,"&lt;&gt;"),"Poedelprijs","")))))&amp;IF(AND(B13&lt;&gt;"",K13=12)," + wipeout-bonus","")&amp;IF(AND(B13&lt;&gt;"",O13=1,COUNTIF($O$5:$O$16,1)=1)," + JACKPOT","")&amp;IF(AND(B13&lt;&gt;"",O13=1,COUNTIF($O$5:$O$16,1)&gt;1,W13=MIN($W$5:$W$16))," + JACKPOT (tiebreak)","")</f>
        <v/>
      </c>
      <c r="R13" s="5"/>
      <c r="S13" s="5"/>
      <c r="W13" s="2" t="n">
        <f aca="false">IF(AND(B13&lt;&gt;"",O13=1,N13&lt;&gt;""),N13,999999999)</f>
        <v>999999999</v>
      </c>
      <c r="X13" s="2" t="n">
        <f aca="false">IF(AND(B13&lt;&gt;"",E13&lt;&gt;""),E13*1000-IF(R13="",999,R13),-1)</f>
        <v>-1</v>
      </c>
      <c r="Y13" s="2" t="n">
        <f aca="false">IF(AND(B13&lt;&gt;"",F13&lt;&gt;""),F13*1000-IF(S13="",999,S13),-1)</f>
        <v>-1</v>
      </c>
    </row>
    <row r="14" customFormat="false" ht="15" hidden="false" customHeight="false" outlineLevel="0" collapsed="false">
      <c r="A14" s="4" t="n">
        <v>10</v>
      </c>
      <c r="B14" s="5"/>
      <c r="C14" s="5"/>
      <c r="D14" s="6"/>
      <c r="E14" s="6"/>
      <c r="F14" s="6"/>
      <c r="G14" s="6"/>
      <c r="H14" s="6"/>
      <c r="I14" s="6"/>
      <c r="J14" s="6"/>
      <c r="K14" s="4" t="str">
        <f aca="false">IF(B14="","",IF(J14=1,0,IF(I14=8,12,I14)))</f>
        <v/>
      </c>
      <c r="L14" s="4" t="str">
        <f aca="false">IF(B14="","",SUM(D14:H14)+K14+IF(C14=1,D14,IF(C14=2,E14,IF(C14=3,F14,IF(C14=4,G14,IF(C14=5,H14,0))))))</f>
        <v/>
      </c>
      <c r="M14" s="5"/>
      <c r="N14" s="4" t="str">
        <f aca="false">IF(M14="","",ABS(M14-$V$3))</f>
        <v/>
      </c>
      <c r="O14" s="5"/>
      <c r="P14" s="4" t="str">
        <f aca="false">IF(B14="","",1+COUNTIFS($B$5:$B$16,"&lt;&gt;",$L$5:$L$16,"&gt;"&amp;L14)+COUNTIFS($B$5:$B$16,"&lt;&gt;",$L$5:$L$16,L14,$N$5:$N$16,"&lt;"&amp;N14))</f>
        <v/>
      </c>
      <c r="Q14" s="4" t="str">
        <f aca="false">IF(B14="","",IF(P14=1,"Kampioenen",IF(P14=2,"Nummer 2",IF(P14=3,"Nummer 3",IF(P14=COUNTIF($B$5:$B$16,"&lt;&gt;"),"Poedelprijs","")))))&amp;IF(AND(B14&lt;&gt;"",K14=12)," + wipeout-bonus","")&amp;IF(AND(B14&lt;&gt;"",O14=1,COUNTIF($O$5:$O$16,1)=1)," + JACKPOT","")&amp;IF(AND(B14&lt;&gt;"",O14=1,COUNTIF($O$5:$O$16,1)&gt;1,W14=MIN($W$5:$W$16))," + JACKPOT (tiebreak)","")</f>
        <v/>
      </c>
      <c r="R14" s="5"/>
      <c r="S14" s="5"/>
      <c r="W14" s="2" t="n">
        <f aca="false">IF(AND(B14&lt;&gt;"",O14=1,N14&lt;&gt;""),N14,999999999)</f>
        <v>999999999</v>
      </c>
      <c r="X14" s="2" t="n">
        <f aca="false">IF(AND(B14&lt;&gt;"",E14&lt;&gt;""),E14*1000-IF(R14="",999,R14),-1)</f>
        <v>-1</v>
      </c>
      <c r="Y14" s="2" t="n">
        <f aca="false">IF(AND(B14&lt;&gt;"",F14&lt;&gt;""),F14*1000-IF(S14="",999,S14),-1)</f>
        <v>-1</v>
      </c>
    </row>
    <row r="15" customFormat="false" ht="15" hidden="false" customHeight="false" outlineLevel="0" collapsed="false">
      <c r="A15" s="4" t="n">
        <v>11</v>
      </c>
      <c r="B15" s="5"/>
      <c r="C15" s="5"/>
      <c r="D15" s="6"/>
      <c r="E15" s="6"/>
      <c r="F15" s="6"/>
      <c r="G15" s="6"/>
      <c r="H15" s="6"/>
      <c r="I15" s="6"/>
      <c r="J15" s="6"/>
      <c r="K15" s="4" t="str">
        <f aca="false">IF(B15="","",IF(J15=1,0,IF(I15=8,12,I15)))</f>
        <v/>
      </c>
      <c r="L15" s="4" t="str">
        <f aca="false">IF(B15="","",SUM(D15:H15)+K15+IF(C15=1,D15,IF(C15=2,E15,IF(C15=3,F15,IF(C15=4,G15,IF(C15=5,H15,0))))))</f>
        <v/>
      </c>
      <c r="M15" s="5"/>
      <c r="N15" s="4" t="str">
        <f aca="false">IF(M15="","",ABS(M15-$V$3))</f>
        <v/>
      </c>
      <c r="O15" s="5"/>
      <c r="P15" s="4" t="str">
        <f aca="false">IF(B15="","",1+COUNTIFS($B$5:$B$16,"&lt;&gt;",$L$5:$L$16,"&gt;"&amp;L15)+COUNTIFS($B$5:$B$16,"&lt;&gt;",$L$5:$L$16,L15,$N$5:$N$16,"&lt;"&amp;N15))</f>
        <v/>
      </c>
      <c r="Q15" s="4" t="str">
        <f aca="false">IF(B15="","",IF(P15=1,"Kampioenen",IF(P15=2,"Nummer 2",IF(P15=3,"Nummer 3",IF(P15=COUNTIF($B$5:$B$16,"&lt;&gt;"),"Poedelprijs","")))))&amp;IF(AND(B15&lt;&gt;"",K15=12)," + wipeout-bonus","")&amp;IF(AND(B15&lt;&gt;"",O15=1,COUNTIF($O$5:$O$16,1)=1)," + JACKPOT","")&amp;IF(AND(B15&lt;&gt;"",O15=1,COUNTIF($O$5:$O$16,1)&gt;1,W15=MIN($W$5:$W$16))," + JACKPOT (tiebreak)","")</f>
        <v/>
      </c>
      <c r="R15" s="5"/>
      <c r="S15" s="5"/>
      <c r="W15" s="2" t="n">
        <f aca="false">IF(AND(B15&lt;&gt;"",O15=1,N15&lt;&gt;""),N15,999999999)</f>
        <v>999999999</v>
      </c>
      <c r="X15" s="2" t="n">
        <f aca="false">IF(AND(B15&lt;&gt;"",E15&lt;&gt;""),E15*1000-IF(R15="",999,R15),-1)</f>
        <v>-1</v>
      </c>
      <c r="Y15" s="2" t="n">
        <f aca="false">IF(AND(B15&lt;&gt;"",F15&lt;&gt;""),F15*1000-IF(S15="",999,S15),-1)</f>
        <v>-1</v>
      </c>
    </row>
    <row r="16" customFormat="false" ht="15" hidden="false" customHeight="false" outlineLevel="0" collapsed="false">
      <c r="A16" s="4" t="n">
        <v>12</v>
      </c>
      <c r="B16" s="5"/>
      <c r="C16" s="5"/>
      <c r="D16" s="6"/>
      <c r="E16" s="6"/>
      <c r="F16" s="6"/>
      <c r="G16" s="6"/>
      <c r="H16" s="6"/>
      <c r="I16" s="6"/>
      <c r="J16" s="6"/>
      <c r="K16" s="4" t="str">
        <f aca="false">IF(B16="","",IF(J16=1,0,IF(I16=8,12,I16)))</f>
        <v/>
      </c>
      <c r="L16" s="4" t="str">
        <f aca="false">IF(B16="","",SUM(D16:H16)+K16+IF(C16=1,D16,IF(C16=2,E16,IF(C16=3,F16,IF(C16=4,G16,IF(C16=5,H16,0))))))</f>
        <v/>
      </c>
      <c r="M16" s="5"/>
      <c r="N16" s="4" t="str">
        <f aca="false">IF(M16="","",ABS(M16-$V$3))</f>
        <v/>
      </c>
      <c r="O16" s="5"/>
      <c r="P16" s="4" t="str">
        <f aca="false">IF(B16="","",1+COUNTIFS($B$5:$B$16,"&lt;&gt;",$L$5:$L$16,"&gt;"&amp;L16)+COUNTIFS($B$5:$B$16,"&lt;&gt;",$L$5:$L$16,L16,$N$5:$N$16,"&lt;"&amp;N16))</f>
        <v/>
      </c>
      <c r="Q16" s="4" t="str">
        <f aca="false">IF(B16="","",IF(P16=1,"Kampioenen",IF(P16=2,"Nummer 2",IF(P16=3,"Nummer 3",IF(P16=COUNTIF($B$5:$B$16,"&lt;&gt;"),"Poedelprijs","")))))&amp;IF(AND(B16&lt;&gt;"",K16=12)," + wipeout-bonus","")&amp;IF(AND(B16&lt;&gt;"",O16=1,COUNTIF($O$5:$O$16,1)=1)," + JACKPOT","")&amp;IF(AND(B16&lt;&gt;"",O16=1,COUNTIF($O$5:$O$16,1)&gt;1,W16=MIN($W$5:$W$16))," + JACKPOT (tiebreak)","")</f>
        <v/>
      </c>
      <c r="R16" s="5"/>
      <c r="S16" s="5"/>
      <c r="W16" s="2" t="n">
        <f aca="false">IF(AND(B16&lt;&gt;"",O16=1,N16&lt;&gt;""),N16,999999999)</f>
        <v>999999999</v>
      </c>
      <c r="X16" s="2" t="n">
        <f aca="false">IF(AND(B16&lt;&gt;"",E16&lt;&gt;""),E16*1000-IF(R16="",999,R16),-1)</f>
        <v>-1</v>
      </c>
      <c r="Y16" s="2" t="n">
        <f aca="false">IF(AND(B16&lt;&gt;"",F16&lt;&gt;""),F16*1000-IF(S16="",999,S16),-1)</f>
        <v>-1</v>
      </c>
    </row>
    <row r="18" customFormat="false" ht="15" hidden="false" customHeight="false" outlineLevel="0" collapsed="false">
      <c r="A18" s="7" t="s">
        <v>44</v>
      </c>
    </row>
    <row r="19" customFormat="false" ht="15" hidden="false" customHeight="false" outlineLevel="0" collapsed="false">
      <c r="A19" s="0" t="s">
        <v>45</v>
      </c>
      <c r="H19" s="7" t="str">
        <f aca="false">IF(COUNT(E5:E16)=0,"",INDEX(B5:B16,MATCH(MAX(X5:X16),X5:X16,0)))</f>
        <v/>
      </c>
    </row>
    <row r="20" customFormat="false" ht="15" hidden="false" customHeight="false" outlineLevel="0" collapsed="false">
      <c r="A20" s="0" t="s">
        <v>46</v>
      </c>
      <c r="H20" s="7" t="str">
        <f aca="false">IF(COUNT(F5:F16)=0,"",INDEX(B5:B16,MATCH(MAX(Y5:Y16),Y5:Y16,0)))</f>
        <v/>
      </c>
    </row>
    <row r="21" customFormat="false" ht="15" hidden="false" customHeight="false" outlineLevel="0" collapsed="false">
      <c r="A21" s="2" t="s">
        <v>47</v>
      </c>
    </row>
    <row r="22" customFormat="false" ht="15" hidden="false" customHeight="false" outlineLevel="0" collapsed="false">
      <c r="A22" s="2" t="s">
        <v>48</v>
      </c>
    </row>
    <row r="23" customFormat="false" ht="15" hidden="false" customHeight="false" outlineLevel="0" collapsed="false">
      <c r="A23" s="7" t="s">
        <v>49</v>
      </c>
      <c r="C23" s="8"/>
    </row>
    <row r="24" customFormat="false" ht="15" hidden="false" customHeight="false" outlineLevel="0" collapsed="false">
      <c r="A24" s="7" t="s">
        <v>50</v>
      </c>
      <c r="C24" s="8"/>
    </row>
  </sheetData>
  <conditionalFormatting sqref="Q5:Q16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10" t="s">
        <v>2</v>
      </c>
      <c r="B3" s="10" t="s">
        <v>16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56</v>
      </c>
      <c r="H3" s="10" t="s">
        <v>57</v>
      </c>
      <c r="I3" s="10" t="s">
        <v>58</v>
      </c>
    </row>
    <row r="4" customFormat="false" ht="15" hidden="false" customHeight="false" outlineLevel="0" collapsed="false">
      <c r="A4" s="4" t="n">
        <v>1</v>
      </c>
      <c r="B4" s="4" t="s">
        <v>59</v>
      </c>
      <c r="C4" s="4" t="s">
        <v>60</v>
      </c>
      <c r="D4" s="5"/>
      <c r="E4" s="5"/>
      <c r="F4" s="11"/>
      <c r="G4" s="12" t="str">
        <f aca="false">IF(F4="","",EDATE(F4,3))</f>
        <v/>
      </c>
      <c r="H4" s="5"/>
      <c r="I4" s="5"/>
    </row>
    <row r="5" customFormat="false" ht="15" hidden="false" customHeight="false" outlineLevel="0" collapsed="false">
      <c r="A5" s="4" t="n">
        <v>2</v>
      </c>
      <c r="B5" s="4" t="s">
        <v>59</v>
      </c>
      <c r="C5" s="4" t="s">
        <v>61</v>
      </c>
      <c r="D5" s="5"/>
      <c r="E5" s="5"/>
      <c r="F5" s="11"/>
      <c r="G5" s="12" t="str">
        <f aca="false">IF(F5="","",EDATE(F5,3))</f>
        <v/>
      </c>
      <c r="H5" s="5"/>
      <c r="I5" s="5"/>
    </row>
    <row r="6" customFormat="false" ht="15" hidden="false" customHeight="false" outlineLevel="0" collapsed="false">
      <c r="A6" s="4" t="n">
        <v>3</v>
      </c>
      <c r="B6" s="4" t="s">
        <v>59</v>
      </c>
      <c r="C6" s="4" t="s">
        <v>62</v>
      </c>
      <c r="D6" s="5"/>
      <c r="E6" s="5"/>
      <c r="F6" s="11"/>
      <c r="G6" s="12" t="str">
        <f aca="false">IF(F6="","",EDATE(F6,3))</f>
        <v/>
      </c>
      <c r="H6" s="5"/>
      <c r="I6" s="5"/>
    </row>
    <row r="7" customFormat="false" ht="15" hidden="false" customHeight="false" outlineLevel="0" collapsed="false">
      <c r="A7" s="4" t="n">
        <v>4</v>
      </c>
      <c r="B7" s="4" t="s">
        <v>59</v>
      </c>
      <c r="C7" s="4" t="s">
        <v>63</v>
      </c>
      <c r="D7" s="5"/>
      <c r="E7" s="5"/>
      <c r="F7" s="11"/>
      <c r="G7" s="12" t="str">
        <f aca="false">IF(F7="","",EDATE(F7,3))</f>
        <v/>
      </c>
      <c r="H7" s="5"/>
      <c r="I7" s="5"/>
    </row>
    <row r="8" customFormat="false" ht="15" hidden="false" customHeight="false" outlineLevel="0" collapsed="false">
      <c r="A8" s="4" t="n">
        <v>5</v>
      </c>
      <c r="B8" s="4" t="s">
        <v>64</v>
      </c>
      <c r="C8" s="4" t="s">
        <v>65</v>
      </c>
      <c r="D8" s="5"/>
      <c r="E8" s="5"/>
      <c r="F8" s="11"/>
      <c r="G8" s="12" t="str">
        <f aca="false">IF(F8="","",EDATE(F8,3))</f>
        <v/>
      </c>
      <c r="H8" s="5"/>
      <c r="I8" s="5"/>
    </row>
    <row r="9" customFormat="false" ht="15" hidden="false" customHeight="false" outlineLevel="0" collapsed="false">
      <c r="A9" s="4" t="n">
        <v>6</v>
      </c>
      <c r="B9" s="4" t="s">
        <v>64</v>
      </c>
      <c r="C9" s="4" t="s">
        <v>63</v>
      </c>
      <c r="D9" s="5"/>
      <c r="E9" s="5"/>
      <c r="F9" s="11"/>
      <c r="G9" s="12" t="str">
        <f aca="false">IF(F9="","",EDATE(F9,3))</f>
        <v/>
      </c>
      <c r="H9" s="5"/>
      <c r="I9" s="5"/>
    </row>
    <row r="10" customFormat="false" ht="15" hidden="false" customHeight="false" outlineLevel="0" collapsed="false">
      <c r="A10" s="4" t="n">
        <v>7</v>
      </c>
      <c r="B10" s="4" t="s">
        <v>66</v>
      </c>
      <c r="C10" s="4" t="s">
        <v>63</v>
      </c>
      <c r="D10" s="5"/>
      <c r="E10" s="5"/>
      <c r="F10" s="11"/>
      <c r="G10" s="12" t="str">
        <f aca="false">IF(F10="","",EDATE(F10,3))</f>
        <v/>
      </c>
      <c r="H10" s="5"/>
      <c r="I10" s="5"/>
    </row>
    <row r="11" customFormat="false" ht="15" hidden="false" customHeight="false" outlineLevel="0" collapsed="false">
      <c r="A11" s="4" t="n">
        <v>8</v>
      </c>
      <c r="B11" s="4" t="s">
        <v>66</v>
      </c>
      <c r="C11" s="4" t="s">
        <v>67</v>
      </c>
      <c r="D11" s="5"/>
      <c r="E11" s="5"/>
      <c r="F11" s="11"/>
      <c r="G11" s="12" t="str">
        <f aca="false">IF(F11="","",EDATE(F11,3))</f>
        <v/>
      </c>
      <c r="H11" s="5"/>
      <c r="I11" s="5"/>
    </row>
    <row r="12" customFormat="false" ht="15" hidden="false" customHeight="false" outlineLevel="0" collapsed="false">
      <c r="A12" s="4" t="n">
        <v>9</v>
      </c>
      <c r="B12" s="4" t="s">
        <v>68</v>
      </c>
      <c r="C12" s="4" t="s">
        <v>69</v>
      </c>
      <c r="D12" s="5"/>
      <c r="E12" s="5"/>
      <c r="F12" s="11"/>
      <c r="G12" s="12" t="str">
        <f aca="false">IF(F12="","",EDATE(F12,3))</f>
        <v/>
      </c>
      <c r="H12" s="5"/>
      <c r="I12" s="5"/>
    </row>
    <row r="13" customFormat="false" ht="15" hidden="false" customHeight="false" outlineLevel="0" collapsed="false">
      <c r="A13" s="4" t="n">
        <v>10</v>
      </c>
      <c r="B13" s="4" t="s">
        <v>68</v>
      </c>
      <c r="C13" s="4" t="s">
        <v>70</v>
      </c>
      <c r="D13" s="5"/>
      <c r="E13" s="5"/>
      <c r="F13" s="11"/>
      <c r="G13" s="12" t="str">
        <f aca="false">IF(F13="","",EDATE(F13,3))</f>
        <v/>
      </c>
      <c r="H13" s="5"/>
      <c r="I13" s="5"/>
    </row>
    <row r="14" customFormat="false" ht="15" hidden="false" customHeight="false" outlineLevel="0" collapsed="false">
      <c r="A14" s="4" t="n">
        <v>11</v>
      </c>
      <c r="B14" s="4" t="s">
        <v>71</v>
      </c>
      <c r="C14" s="4" t="s">
        <v>69</v>
      </c>
      <c r="D14" s="5"/>
      <c r="E14" s="5"/>
      <c r="F14" s="11"/>
      <c r="G14" s="12" t="str">
        <f aca="false">IF(F14="","",EDATE(F14,3))</f>
        <v/>
      </c>
      <c r="H14" s="5"/>
      <c r="I14" s="5"/>
    </row>
    <row r="15" customFormat="false" ht="15" hidden="false" customHeight="false" outlineLevel="0" collapsed="false">
      <c r="A15" s="4" t="n">
        <v>12</v>
      </c>
      <c r="B15" s="4" t="s">
        <v>71</v>
      </c>
      <c r="C15" s="4" t="s">
        <v>70</v>
      </c>
      <c r="D15" s="5"/>
      <c r="E15" s="5"/>
      <c r="F15" s="11"/>
      <c r="G15" s="12" t="str">
        <f aca="false">IF(F15="","",EDATE(F15,3))</f>
        <v/>
      </c>
      <c r="H15" s="5"/>
      <c r="I15" s="5"/>
    </row>
    <row r="16" customFormat="false" ht="15" hidden="false" customHeight="false" outlineLevel="0" collapsed="false">
      <c r="A16" s="4" t="n">
        <v>13</v>
      </c>
      <c r="B16" s="4" t="s">
        <v>72</v>
      </c>
      <c r="C16" s="4" t="s">
        <v>73</v>
      </c>
      <c r="D16" s="5"/>
      <c r="E16" s="5"/>
      <c r="F16" s="11"/>
      <c r="G16" s="12" t="str">
        <f aca="false">IF(F16="","",EDATE(F16,3))</f>
        <v/>
      </c>
      <c r="H16" s="5"/>
      <c r="I16" s="5"/>
    </row>
    <row r="17" customFormat="false" ht="15" hidden="false" customHeight="false" outlineLevel="0" collapsed="false">
      <c r="A17" s="4" t="n">
        <v>14</v>
      </c>
      <c r="B17" s="4" t="s">
        <v>74</v>
      </c>
      <c r="C17" s="4" t="s">
        <v>73</v>
      </c>
      <c r="D17" s="5"/>
      <c r="E17" s="5"/>
      <c r="F17" s="11"/>
      <c r="G17" s="12" t="str">
        <f aca="false">IF(F17="","",EDATE(F17,3))</f>
        <v/>
      </c>
      <c r="H17" s="5"/>
      <c r="I17" s="5"/>
    </row>
    <row r="18" customFormat="false" ht="15" hidden="false" customHeight="false" outlineLevel="0" collapsed="false">
      <c r="A18" s="4" t="n">
        <v>15</v>
      </c>
      <c r="B18" s="4" t="s">
        <v>75</v>
      </c>
      <c r="C18" s="4" t="s">
        <v>63</v>
      </c>
      <c r="D18" s="5"/>
      <c r="E18" s="5"/>
      <c r="F18" s="11"/>
      <c r="G18" s="12" t="str">
        <f aca="false">IF(F18="","",EDATE(F18,3))</f>
        <v/>
      </c>
      <c r="H18" s="5"/>
      <c r="I18" s="5"/>
    </row>
    <row r="19" customFormat="false" ht="15" hidden="false" customHeight="false" outlineLevel="0" collapsed="false">
      <c r="A19" s="4" t="n">
        <v>16</v>
      </c>
      <c r="B19" s="4" t="s">
        <v>76</v>
      </c>
      <c r="C19" s="4" t="s">
        <v>63</v>
      </c>
      <c r="D19" s="5"/>
      <c r="E19" s="5"/>
      <c r="F19" s="11"/>
      <c r="G19" s="12" t="str">
        <f aca="false">IF(F19="","",EDATE(F19,3))</f>
        <v/>
      </c>
      <c r="H19" s="5"/>
      <c r="I19" s="5"/>
    </row>
    <row r="20" customFormat="false" ht="15" hidden="false" customHeight="false" outlineLevel="0" collapsed="false">
      <c r="A20" s="4" t="n">
        <v>17</v>
      </c>
      <c r="B20" s="4" t="s">
        <v>77</v>
      </c>
      <c r="C20" s="4" t="s">
        <v>63</v>
      </c>
      <c r="D20" s="5"/>
      <c r="E20" s="5"/>
      <c r="F20" s="11"/>
      <c r="G20" s="12" t="str">
        <f aca="false">IF(F20="","",EDATE(F20,3))</f>
        <v/>
      </c>
      <c r="H20" s="5"/>
      <c r="I20" s="5"/>
    </row>
    <row r="21" customFormat="false" ht="15" hidden="false" customHeight="false" outlineLevel="0" collapsed="false">
      <c r="A21" s="4" t="n">
        <v>18</v>
      </c>
      <c r="B21" s="4" t="s">
        <v>78</v>
      </c>
      <c r="C21" s="4" t="s">
        <v>79</v>
      </c>
      <c r="D21" s="5"/>
      <c r="E21" s="5"/>
      <c r="F21" s="11"/>
      <c r="G21" s="12" t="str">
        <f aca="false">IF(F21="","",EDATE(F21,3))</f>
        <v/>
      </c>
      <c r="H21" s="5"/>
      <c r="I21" s="5"/>
    </row>
    <row r="22" customFormat="false" ht="15" hidden="false" customHeight="false" outlineLevel="0" collapsed="false">
      <c r="A22" s="4" t="n">
        <v>19</v>
      </c>
      <c r="B22" s="4" t="s">
        <v>80</v>
      </c>
      <c r="C22" s="4" t="s">
        <v>81</v>
      </c>
      <c r="D22" s="5"/>
      <c r="E22" s="5"/>
      <c r="F22" s="11"/>
      <c r="G22" s="12" t="str">
        <f aca="false">IF(F22="","",EDATE(F22,3))</f>
        <v/>
      </c>
      <c r="H22" s="5"/>
      <c r="I22" s="5"/>
    </row>
    <row r="23" customFormat="false" ht="15" hidden="false" customHeight="false" outlineLevel="0" collapsed="false">
      <c r="A23" s="4" t="n">
        <v>20</v>
      </c>
      <c r="B23" s="4" t="s">
        <v>82</v>
      </c>
      <c r="C23" s="4" t="s">
        <v>83</v>
      </c>
      <c r="D23" s="5"/>
      <c r="E23" s="5"/>
      <c r="F23" s="11"/>
      <c r="G23" s="12" t="str">
        <f aca="false">IF(F23="","",EDATE(F23,3))</f>
        <v/>
      </c>
      <c r="H23" s="5"/>
      <c r="I23" s="5"/>
    </row>
    <row r="24" customFormat="false" ht="15" hidden="false" customHeight="false" outlineLevel="0" collapsed="false">
      <c r="A24" s="4" t="n">
        <v>21</v>
      </c>
      <c r="B24" s="4" t="s">
        <v>84</v>
      </c>
      <c r="C24" s="4" t="s">
        <v>85</v>
      </c>
      <c r="D24" s="5"/>
      <c r="E24" s="5"/>
      <c r="F24" s="11"/>
      <c r="G24" s="12" t="str">
        <f aca="false">IF(F24="","",EDATE(F24,3))</f>
        <v/>
      </c>
      <c r="H24" s="5"/>
      <c r="I24" s="5"/>
    </row>
    <row r="25" customFormat="false" ht="15" hidden="false" customHeight="false" outlineLevel="0" collapsed="false">
      <c r="A25" s="4" t="n">
        <v>22</v>
      </c>
      <c r="B25" s="4" t="s">
        <v>86</v>
      </c>
      <c r="C25" s="4" t="s">
        <v>87</v>
      </c>
      <c r="D25" s="5"/>
      <c r="E25" s="5"/>
      <c r="F25" s="11"/>
      <c r="G25" s="12" t="str">
        <f aca="false">IF(F25="","",EDATE(F25,3))</f>
        <v/>
      </c>
      <c r="H25" s="5"/>
      <c r="I25" s="5"/>
    </row>
    <row r="27" customFormat="false" ht="15" hidden="false" customHeight="false" outlineLevel="0" collapsed="false">
      <c r="A27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89</v>
      </c>
    </row>
    <row r="3" customFormat="false" ht="15" hidden="false" customHeight="false" outlineLevel="0" collapsed="false">
      <c r="A3" s="0" t="s">
        <v>90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92</v>
      </c>
    </row>
    <row r="6" customFormat="false" ht="15" hidden="false" customHeight="false" outlineLevel="0" collapsed="false">
      <c r="A6" s="0" t="s">
        <v>93</v>
      </c>
    </row>
    <row r="7" customFormat="false" ht="15" hidden="false" customHeight="false" outlineLevel="0" collapsed="false">
      <c r="A7" s="0" t="s">
        <v>94</v>
      </c>
    </row>
    <row r="8" customFormat="false" ht="15" hidden="false" customHeight="false" outlineLevel="0" collapsed="false">
      <c r="A8" s="0" t="s">
        <v>95</v>
      </c>
    </row>
    <row r="9" customFormat="false" ht="15" hidden="false" customHeight="false" outlineLevel="0" collapsed="false">
      <c r="A9" s="0" t="s">
        <v>96</v>
      </c>
    </row>
    <row r="10" customFormat="false" ht="15" hidden="false" customHeight="false" outlineLevel="0" collapsed="false">
      <c r="A10" s="0" t="s">
        <v>97</v>
      </c>
    </row>
    <row r="11" customFormat="false" ht="15" hidden="false" customHeight="false" outlineLevel="0" collapsed="false">
      <c r="A11" s="0" t="s">
        <v>98</v>
      </c>
    </row>
    <row r="12" customFormat="false" ht="15" hidden="false" customHeight="false" outlineLevel="0" collapsed="false">
      <c r="A12" s="0" t="s">
        <v>99</v>
      </c>
    </row>
    <row r="13" customFormat="false" ht="15" hidden="false" customHeight="false" outlineLevel="0" collapsed="false">
      <c r="A13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2026-09-20T18:45:56Z</dcterms:created>
  <dc:creator>openpyxl</dc:creator>
  <dc:description/>
  <dc:language>en-US</dc:language>
  <cp:lastModifiedBy/>
  <dcterms:modified xsi:type="dcterms:W3CDTF">2026-09-20T18:45:56Z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