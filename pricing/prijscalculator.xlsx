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<sst xmlns="http://schemas.openxmlformats.org/spreadsheetml/2006/main" count="408" uniqueCount="313">
  <si>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</si>
  <si>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</si>
  <si>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</si>
  <si>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</si>
  <si>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</si>
  <si>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</si>
  <si>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</si>
  <si>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</si>
  <si>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</si>
  <si>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</si>
  <si>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</si>
  <si>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</si>
  <si>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</si>
  <si>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</si>
  <si>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</si>
  <si>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</si>
  <si>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</si>
  <si>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</si>
  <si>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</si>
  <si>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</si>
  <si>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</si>
  <si>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</si>
  <si>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</si>
  <si>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</si>
  <si>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</si>
  <si>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</si>
  <si>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</si>
  <si>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</si>
  <si>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</si>
  <si>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</si>
  <si>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</si>
  <si>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</si>
  <si>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</si>
  <si>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</si>
  <si>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</si>
  <si>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</si>
  <si>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</si>
  <si>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</si>
  <si>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</si>
  <si>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</si>
  <si>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</si>
  <si>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</si>
  <si>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</si>
  <si>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</si>
  <si>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</si>
  <si>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</si>
  <si>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</si>
  <si>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</si>
  <si>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</si>
  <si>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</si>
  <si>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</si>
  <si>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</si>
  <si>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</si>
  <si>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</si>
  <si>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</si>
  <si>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</si>
  <si>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</si>
  <si>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</si>
  <si>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</si>
  <si>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</si>
  <si>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</si>
  <si>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</si>
  <si>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</si>
  <si>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</si>
  <si>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</si>
  <si>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</si>
  <si>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</si>
  <si>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</si>
  <si>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</si>
  <si>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</si>
  <si>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</si>
  <si>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</si>
  <si>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</si>
  <si>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</si>
  <si>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</si>
  <si>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</si>
  <si>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</si>
  <si>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</si>
  <si>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</si>
  <si>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</si>
  <si>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</si>
  <si>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</si>
  <si>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</si>
  <si>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</si>
  <si>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</si>
  <si>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</si>
  <si>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</si>
  <si>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</si>
  <si>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</si>
  <si>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</si>
  <si>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</si>
  <si>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</si>
  <si>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</si>
  <si>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</si>
  <si>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</si>
  <si>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</si>
  <si>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</si>
  <si>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</si>
  <si>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</si>
  <si>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</si>
  <si>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</si>
  <si>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</si>
  <si>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</si>
  <si>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</si>
  <si>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</si>
  <si>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</si>
  <si>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</si>
  <si>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</si>
  <si>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</si>
  <si>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</si>
  <si>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</si>
  <si>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</si>
  <si>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</si>
  <si>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</si>
  <si>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</si>
  <si>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</si>
  <si>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</si>
  <si>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</si>
  <si>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</si>
  <si>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</si>
  <si>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</si>
  <si>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</si>
  <si>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</si>
  <si>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</si>
  <si>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</si>
  <si>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</si>
  <si>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</si>
  <si>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</si>
  <si>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</si>
  <si>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</si>
  <si>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</si>
  <si>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</si>
  <si>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</si>
  <si>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</si>
  <si>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</si>
  <si>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</si>
  <si>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</si>
  <si>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</si>
  <si>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</si>
  <si>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</si>
  <si>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</si>
  <si>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</si>
  <si>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</si>
  <si>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</si>
  <si>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</si>
  <si>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</si>
  <si>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</si>
  <si>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</si>
  <si>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</si>
  <si>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</si>
  <si>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</si>
  <si>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</si>
  <si>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</si>
  <si>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</si>
  <si>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</si>
  <si>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</si>
  <si>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</si>
  <si>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</si>
  <si>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</si>
  <si>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</si>
  <si>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</si>
  <si>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</si>
  <si>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</si>
  <si>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</si>
  <si>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</si>
  <si>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</si>
  <si>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</si>
  <si>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</si>
  <si>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</si>
  <si>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</si>
  <si>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</si>
  <si>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</si>
  <si>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</si>
  <si>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</si>
  <si>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</si>
  <si>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</si>
  <si>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</si>
  <si>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</si>
  <si>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</si>
  <si>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</si>
  <si>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</si>
  <si>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</si>
  <si>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</si>
  <si>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</si>
  <si>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</si>
  <si>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</si>
  <si>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</si>
  <si>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</si>
  <si>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</si>
  <si>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</si>
  <si>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</si>
  <si>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</si>
  <si>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</si>
  <si>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</si>
  <si>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</si>
  <si>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</si>
  <si>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</si>
  <si>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</si>
  <si>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</si>
  <si>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</si>
  <si>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</si>
  <si>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</si>
  <si>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</si>
  <si>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</si>
  <si>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</si>
  <si>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</si>
  <si>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</si>
  <si>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</si>
  <si>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</si>
  <si>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</si>
  <si>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</si>
  <si>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</si>
  <si>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</si>
  <si>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</si>
  <si>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</si>
  <si>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</si>
  <si>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</si>
  <si>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</si>
  <si>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Besluit Lars 20 september 2026: 2 uur banen, 19:00 tot 21:00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</si>
  <si>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</si>
  <si>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</si>
  <si>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</si>
  <si>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</si>
  <si>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</si>
  <si>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</si>
  <si>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</si>
  <si>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</si>
  <si>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</si>
  <si>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</si>
  <si>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</si>
  <si>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</si>
  <si>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+ 4 hapjes samen €8,00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</si>
  <si>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</si>
  <si>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</si>
  <si>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</si>
  <si>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</si>
  <si>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</si>
  <si>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</si>
  <si>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</si>
  <si>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</si>
  <si>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</si>
  <si>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</si>
  <si>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Gratis baanuren voor matches (0 = geen, besluit Lars)</t>
  </si>
  <si>
    <t xml:space="preserve">matches</t>
  </si>
  <si>
    <t xml:space="preserve">Vervallen op 20 september 2026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</si>
  <si>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</si>
  <si>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</si>
  <si>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</si>
  <si>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</si>
  <si>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</si>
  <si>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</si>
  <si>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</si>
  <si>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</si>
  <si>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</si>
  <si>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Welkomstdrankje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</si>
  <si>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</si>
  <si>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</si>
  <si>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</si>
  <si>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</si>
  <si>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</si>
  <si>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</si>
  <si>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</si>
  <si>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</si>
  <si>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</si>
  <si>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</si>
  <si>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</si>
  <si>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</si>
  <si>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</si>
  <si>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</si>
  <si>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</si>
  <si>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</si>
  <si>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</si>
  <si>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</si>
  <si>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</si>
  <si>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</si>
  <si>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</si>
  <si>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</si>
  <si>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</si>
  <si>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</si>
  <si>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</si>
  <si>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</si>
  <si>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</si>
  <si>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</si>
  <si>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</si>
  <si>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</si>
  <si>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</si>
  <si>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</si>
  <si>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</si>
  <si>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</si>
  <si>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</si>
  <si>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</si>
  <si>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</si>
  <si>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11. Definitief (20 sept): 6 banen €22,50 × 2 uur, welkomstdrankje + hapjes €8, Lars host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</si>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</sst>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4.08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0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270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97.92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650.5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27.1041666666667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331.318181818182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0.337453703703704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462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19.25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46.8514880952381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762.58</v>
      </c>
      <c r="L55" s="17" t="n">
        <f aca="false">J55-K55</f>
        <v>219.238181818182</v>
      </c>
      <c r="M55" s="35" t="n">
        <f aca="false">IF(J55&gt;0,L55/J55,0)</f>
        <v>0.223298148148148</v>
      </c>
      <c r="N55" s="17" t="n">
        <f aca="false">B55*$B$8*C55+$B$4*D55*E55+$B$4*$B$15*$B$16+IF(H55=1,0,$B$21*C55)</f>
        <v>574.08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6" t="s">
        <v>292</v>
      </c>
      <c r="B57" s="14" t="n">
        <v>6</v>
      </c>
      <c r="C57" s="10" t="n">
        <v>22.5</v>
      </c>
      <c r="D57" s="14" t="n">
        <v>1</v>
      </c>
      <c r="E57" s="10" t="n">
        <v>4.08</v>
      </c>
      <c r="F57" s="14" t="n">
        <v>1</v>
      </c>
      <c r="G57" s="14" t="n">
        <v>1</v>
      </c>
      <c r="H57" s="14" t="n">
        <v>1</v>
      </c>
      <c r="I57" s="10" t="n">
        <v>49.5</v>
      </c>
      <c r="J57" s="17" t="n">
        <f aca="false">$B$4*I57/(1+$B$6)</f>
        <v>981.818181818182</v>
      </c>
      <c r="K57" s="17" t="n">
        <f aca="false">B57*$B$8*C57+$B$4*D57*E57+$B$4*$B$15*$B$16+IF(H57=1,0,$B$21*C57)+F57*$B$11*$B$12+$B$17+IF(G57=1,0,$B$18*$B$19)</f>
        <v>650.5</v>
      </c>
      <c r="L57" s="17" t="n">
        <f aca="false">J57-K57</f>
        <v>331.318181818182</v>
      </c>
      <c r="M57" s="35" t="n">
        <f aca="false">IF(J57&gt;0,L57/J57,0)</f>
        <v>0.337453703703704</v>
      </c>
      <c r="N57" s="17" t="n">
        <f aca="false">B57*$B$8*C57+$B$4*D57*E57+$B$4*$B$15*$B$16+IF(H57=1,0,$B$21*C57)</f>
        <v>462</v>
      </c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customFormat="false" ht="15" hidden="false" customHeight="false" outlineLevel="0" collapsed="false">
      <c r="A61" s="3" t="s">
        <v>295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296</v>
      </c>
      <c r="B1" s="19" t="s">
        <v>297</v>
      </c>
    </row>
    <row r="2" customFormat="false" ht="15" hidden="false" customHeight="false" outlineLevel="0" collapsed="false">
      <c r="A2" s="9" t="s">
        <v>298</v>
      </c>
      <c r="B2" s="19" t="s">
        <v>299</v>
      </c>
    </row>
    <row r="3" customFormat="false" ht="15" hidden="false" customHeight="false" outlineLevel="0" collapsed="false">
      <c r="A3" s="9" t="s">
        <v>300</v>
      </c>
      <c r="B3" s="19" t="s">
        <v>301</v>
      </c>
    </row>
    <row r="4" customFormat="false" ht="15" hidden="false" customHeight="false" outlineLevel="0" collapsed="false">
      <c r="A4" s="9" t="s">
        <v>302</v>
      </c>
      <c r="B4" s="19" t="s">
        <v>303</v>
      </c>
    </row>
    <row r="5" customFormat="false" ht="15" hidden="false" customHeight="false" outlineLevel="0" collapsed="false">
      <c r="A5" s="9" t="s">
        <v>304</v>
      </c>
      <c r="B5" s="19" t="s">
        <v>305</v>
      </c>
    </row>
    <row r="6" customFormat="false" ht="15" hidden="false" customHeight="false" outlineLevel="0" collapsed="false">
      <c r="A6" s="9" t="s">
        <v>306</v>
      </c>
      <c r="B6" s="19" t="s">
        <v>307</v>
      </c>
    </row>
    <row r="7" customFormat="false" ht="15" hidden="false" customHeight="false" outlineLevel="0" collapsed="false">
      <c r="A7" s="9" t="s">
        <v>308</v>
      </c>
      <c r="B7" s="19" t="s">
        <v>309</v>
      </c>
    </row>
    <row r="8" customFormat="false" ht="15" hidden="false" customHeight="false" outlineLevel="0" collapsed="false">
      <c r="A8" s="9" t="s">
        <v>310</v>
      </c>
      <c r="B8" s="19" t="s">
        <v>311</v>
      </c>
    </row>
    <row r="9" customFormat="false" ht="15" hidden="false" customHeight="false" outlineLevel="0" collapsed="false">
      <c r="A9" s="9" t="s">
        <v>211</v>
      </c>
      <c r="B9" s="19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2026-09-20T16:54:47Z</dcterms:created>
  <dc:creator>openpyxl</dc:creator>
  <dc:description/>
  <dc:language>en-US</dc:language>
  <cp:lastModifiedBy/>
  <dcterms:modified xsi:type="dcterms:W3CDTF">2026-09-20T16:54:47Z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