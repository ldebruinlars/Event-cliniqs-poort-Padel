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<sst xmlns="http://schemas.openxmlformats.org/spreadsheetml/2006/main" count="407" uniqueCount="312">
  <si>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</si>
  <si>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</si>
  <si>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</si>
  <si>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</si>
  <si>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</si>
  <si>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</si>
  <si>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</si>
  <si>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</si>
  <si>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</si>
  <si>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</si>
  <si>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</si>
  <si>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</si>
  <si>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</si>
  <si>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</si>
  <si>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</si>
  <si>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</si>
  <si>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</si>
  <si>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</si>
  <si>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</si>
  <si>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</si>
  <si>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</si>
  <si>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</si>
  <si>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</si>
  <si>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</si>
  <si>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</si>
  <si>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</si>
  <si>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</si>
  <si>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</si>
  <si>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</si>
  <si>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</si>
  <si>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</si>
  <si>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</si>
  <si>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</si>
  <si>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</si>
  <si>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</si>
  <si>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</si>
  <si>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</si>
  <si>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</si>
  <si>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</si>
  <si>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</si>
  <si>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</si>
  <si>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</si>
  <si>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</si>
  <si>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</si>
  <si>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</si>
  <si>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</si>
  <si>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</si>
  <si>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</si>
  <si>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</si>
  <si>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</si>
  <si>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</si>
  <si>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</si>
  <si>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</si>
  <si>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</si>
  <si>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</si>
  <si>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</si>
  <si>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</si>
  <si>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</si>
  <si>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</si>
  <si>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</si>
  <si>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</si>
  <si>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</si>
  <si>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</si>
  <si>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</si>
  <si>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</si>
  <si>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</si>
  <si>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</si>
  <si>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</si>
  <si>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</si>
  <si>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</si>
  <si>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</si>
  <si>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</si>
  <si>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</si>
  <si>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</si>
  <si>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</si>
  <si>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</si>
  <si>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</si>
  <si>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</si>
  <si>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</si>
  <si>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</si>
  <si>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</si>
  <si>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</si>
  <si>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</si>
  <si>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</si>
  <si>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</si>
  <si>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</si>
  <si>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</si>
  <si>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</si>
  <si>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</si>
  <si>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</si>
  <si>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</si>
  <si>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</si>
  <si>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</si>
  <si>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</si>
  <si>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</si>
  <si>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</si>
  <si>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</si>
  <si>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</si>
  <si>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</si>
  <si>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</si>
  <si>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</si>
  <si>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</si>
  <si>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</si>
  <si>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</si>
  <si>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</si>
  <si>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</si>
  <si>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</si>
  <si>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</si>
  <si>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</si>
  <si>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</si>
  <si>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</si>
  <si>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</si>
  <si>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</si>
  <si>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</si>
  <si>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</si>
  <si>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</si>
  <si>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</si>
  <si>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</si>
  <si>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</si>
  <si>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</si>
  <si>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</si>
  <si>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</si>
  <si>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</si>
  <si>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</si>
  <si>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</si>
  <si>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</si>
  <si>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</si>
  <si>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</si>
  <si>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</si>
  <si>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</si>
  <si>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</si>
  <si>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</si>
  <si>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</si>
  <si>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</si>
  <si>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</si>
  <si>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</si>
  <si>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</si>
  <si>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</si>
  <si>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</si>
  <si>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</si>
  <si>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</si>
  <si>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</si>
  <si>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</si>
  <si>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</si>
  <si>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</si>
  <si>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</si>
  <si>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</si>
  <si>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</si>
  <si>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</si>
  <si>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</si>
  <si>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</si>
  <si>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</si>
  <si>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</si>
  <si>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</si>
  <si>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</si>
  <si>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</si>
  <si>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</si>
  <si>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</si>
  <si>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</si>
  <si>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</si>
  <si>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</si>
  <si>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</si>
  <si>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</si>
  <si>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</si>
  <si>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</si>
  <si>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</si>
  <si>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</si>
  <si>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</si>
  <si>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</si>
  <si>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</si>
  <si>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</si>
  <si>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</si>
  <si>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</si>
  <si>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</si>
  <si>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</si>
  <si>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</si>
  <si>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</si>
  <si>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</si>
  <si>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</si>
  <si>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</si>
  <si>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</si>
  <si>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</si>
  <si>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</si>
  <si>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</si>
  <si>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</si>
  <si>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</si>
  <si>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</si>
  <si>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</si>
  <si>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</si>
  <si>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</si>
  <si>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</si>
  <si>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</si>
  <si>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</si>
  <si>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</si>
  <si>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</si>
  <si>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</si>
  <si>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</si>
  <si>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</si>
  <si>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</si>
  <si>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</si>
  <si>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</si>
  <si>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</si>
  <si>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</si>
  <si>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</si>
  <si>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</si>
  <si>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</si>
  <si>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</si>
  <si>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</si>
  <si>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</si>
  <si>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</si>
  <si>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</si>
  <si>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</si>
  <si>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</si>
  <si>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</si>
  <si>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</si>
  <si>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</si>
  <si>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</si>
  <si>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</si>
  <si>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19:00–21:00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</si>
  <si>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</si>
  <si>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</si>
  <si>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</si>
  <si>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</si>
  <si>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</si>
  <si>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</si>
  <si>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</si>
  <si>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</si>
  <si>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(welkomstdrankje + drankmunt baruur)</t>
  </si>
  <si>
    <t xml:space="preserve">stuks</t>
  </si>
  <si>
    <t xml:space="preserve">Benchmark: markt doet 1, wij 2</t>
  </si>
  <si>
    <t xml:space="preserve">Inkoopprijs per drankje (afspraak Poort Padel)</t>
  </si>
  <si>
    <t xml:space="preserve">Voorstel Lars: €8 p.p. voor 2 drankjes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</si>
  <si>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</si>
  <si>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</si>
  <si>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</si>
  <si>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</si>
  <si>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</si>
  <si>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</si>
  <si>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</si>
  <si>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</si>
  <si>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</si>
  <si>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</si>
  <si>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Verwachte wederzijdse matches (gratis baanuur per match)</t>
  </si>
  <si>
    <t xml:space="preserve">matches</t>
  </si>
  <si>
    <t xml:space="preserve">Aanname bij 24 deelnemers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</si>
  <si>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</si>
  <si>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</si>
  <si>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</si>
  <si>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</si>
  <si>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</si>
  <si>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</si>
  <si>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</si>
  <si>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</si>
  <si>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</si>
  <si>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Drankjes (1 per ronde)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</si>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</sst>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2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3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192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744.58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31.0241666666667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237.238181818182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0.241631481481481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556.08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23.17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16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53.6274880952381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822.58</v>
      </c>
      <c r="L55" s="17" t="n">
        <f aca="false">J55-K55</f>
        <v>159.238181818182</v>
      </c>
      <c r="M55" s="35" t="n">
        <f aca="false">IF(J55&gt;0,L55/J55,0)</f>
        <v>0.162187037037037</v>
      </c>
      <c r="N55" s="17" t="n">
        <f aca="false">B55*$B$8*C55+$B$4*D55*E55+$B$4*$B$15*$B$16+IF(H55=1,0,$B$21*C55)</f>
        <v>634.08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false" outlineLevel="0" collapsed="false">
      <c r="A58" s="3" t="s">
        <v>292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295</v>
      </c>
      <c r="B1" s="19" t="s">
        <v>296</v>
      </c>
    </row>
    <row r="2" customFormat="false" ht="15" hidden="false" customHeight="false" outlineLevel="0" collapsed="false">
      <c r="A2" s="9" t="s">
        <v>297</v>
      </c>
      <c r="B2" s="19" t="s">
        <v>298</v>
      </c>
    </row>
    <row r="3" customFormat="false" ht="15" hidden="false" customHeight="false" outlineLevel="0" collapsed="false">
      <c r="A3" s="9" t="s">
        <v>299</v>
      </c>
      <c r="B3" s="19" t="s">
        <v>300</v>
      </c>
    </row>
    <row r="4" customFormat="false" ht="15" hidden="false" customHeight="false" outlineLevel="0" collapsed="false">
      <c r="A4" s="9" t="s">
        <v>301</v>
      </c>
      <c r="B4" s="19" t="s">
        <v>302</v>
      </c>
    </row>
    <row r="5" customFormat="false" ht="15" hidden="false" customHeight="false" outlineLevel="0" collapsed="false">
      <c r="A5" s="9" t="s">
        <v>303</v>
      </c>
      <c r="B5" s="19" t="s">
        <v>304</v>
      </c>
    </row>
    <row r="6" customFormat="false" ht="15" hidden="false" customHeight="false" outlineLevel="0" collapsed="false">
      <c r="A6" s="9" t="s">
        <v>305</v>
      </c>
      <c r="B6" s="19" t="s">
        <v>306</v>
      </c>
    </row>
    <row r="7" customFormat="false" ht="15" hidden="false" customHeight="false" outlineLevel="0" collapsed="false">
      <c r="A7" s="9" t="s">
        <v>307</v>
      </c>
      <c r="B7" s="19" t="s">
        <v>308</v>
      </c>
    </row>
    <row r="8" customFormat="false" ht="15" hidden="false" customHeight="false" outlineLevel="0" collapsed="false">
      <c r="A8" s="9" t="s">
        <v>309</v>
      </c>
      <c r="B8" s="19" t="s">
        <v>310</v>
      </c>
    </row>
    <row r="9" customFormat="false" ht="15" hidden="false" customHeight="false" outlineLevel="0" collapsed="false">
      <c r="A9" s="9" t="s">
        <v>211</v>
      </c>
      <c r="B9" s="1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2026-09-20T12:59:28Z</dcterms:created>
  <dc:creator>openpyxl</dc:creator>
  <dc:description/>
  <dc:language>en-US</dc:language>
  <cp:lastModifiedBy/>
  <dcterms:modified xsi:type="dcterms:W3CDTF">2026-09-20T12:59:28Z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