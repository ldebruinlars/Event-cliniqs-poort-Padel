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Padel &amp; Quiz" sheetId="7" state="visible" r:id="rId9"/>
    <sheet name="Legend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<sst xmlns="http://schemas.openxmlformats.org/spreadsheetml/2006/main" count="479" uniqueCount="347">
  <si>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</si>
  <si>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</si>
  <si>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</si>
  <si>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</si>
  <si>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</si>
  <si>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</si>
  <si>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</si>
  <si>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</si>
  <si>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</si>
  <si>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</si>
  <si>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</si>
  <si>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</si>
  <si>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</si>
  <si>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</si>
  <si>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</si>
  <si>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</si>
  <si>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</si>
  <si>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</si>
  <si>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</si>
  <si>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</si>
  <si>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</si>
  <si>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</si>
  <si>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</si>
  <si>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</si>
  <si>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</si>
  <si>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</si>
  <si>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</si>
  <si>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</si>
  <si>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</si>
  <si>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</si>
  <si>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</si>
  <si>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</si>
  <si>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</si>
  <si>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</si>
  <si>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</si>
  <si>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</si>
  <si>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</si>
  <si>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</si>
  <si>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</si>
  <si>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</si>
  <si>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</si>
  <si>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</si>
  <si>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</si>
  <si>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</si>
  <si>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</si>
  <si>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</si>
  <si>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</si>
  <si>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</si>
  <si>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</si>
  <si>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</si>
  <si>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</si>
  <si>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</si>
  <si>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</si>
  <si>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</si>
  <si>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</si>
  <si>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</si>
  <si>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</si>
  <si>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</si>
  <si>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</si>
  <si>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</si>
  <si>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</si>
  <si>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</si>
  <si>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</si>
  <si>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</si>
  <si>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</si>
  <si>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</si>
  <si>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</si>
  <si>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</si>
  <si>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</si>
  <si>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</si>
  <si>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</si>
  <si>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</si>
  <si>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</si>
  <si>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</si>
  <si>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</si>
  <si>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</si>
  <si>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</si>
  <si>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</si>
  <si>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</si>
  <si>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</si>
  <si>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</si>
  <si>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</si>
  <si>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</si>
  <si>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</si>
  <si>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</si>
  <si>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</si>
  <si>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</si>
  <si>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</si>
  <si>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</si>
  <si>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</si>
  <si>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</si>
  <si>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</si>
  <si>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</si>
  <si>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</si>
  <si>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</si>
  <si>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</si>
  <si>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</si>
  <si>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</si>
  <si>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</si>
  <si>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</si>
  <si>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</si>
  <si>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</si>
  <si>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</si>
  <si>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</si>
  <si>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</si>
  <si>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</si>
  <si>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</si>
  <si>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</si>
  <si>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</si>
  <si>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</si>
  <si>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</si>
  <si>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</si>
  <si>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</si>
  <si>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</si>
  <si>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</si>
  <si>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</si>
  <si>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</si>
  <si>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</si>
  <si>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</si>
  <si>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</si>
  <si>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</si>
  <si>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</si>
  <si>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</si>
  <si>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</si>
  <si>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</si>
  <si>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</si>
  <si>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</si>
  <si>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</si>
  <si>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</si>
  <si>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</si>
  <si>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</si>
  <si>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</si>
  <si>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</si>
  <si>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</si>
  <si>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</si>
  <si>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</si>
  <si>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</si>
  <si>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</si>
  <si>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</si>
  <si>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</si>
  <si>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</si>
  <si>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</si>
  <si>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</si>
  <si>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</si>
  <si>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</si>
  <si>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</si>
  <si>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</si>
  <si>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</si>
  <si>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</si>
  <si>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</si>
  <si>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</si>
  <si>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</si>
  <si>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</si>
  <si>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</si>
  <si>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</si>
  <si>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</si>
  <si>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</si>
  <si>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</si>
  <si>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</si>
  <si>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</si>
  <si>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</si>
  <si>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</si>
  <si>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</si>
  <si>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</si>
  <si>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</si>
  <si>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</si>
  <si>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</si>
  <si>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</si>
  <si>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</si>
  <si>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</si>
  <si>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</si>
  <si>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</si>
  <si>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</si>
  <si>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</si>
  <si>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</si>
  <si>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</si>
  <si>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</si>
  <si>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</si>
  <si>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</si>
  <si>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</si>
  <si>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</si>
  <si>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</si>
  <si>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</si>
  <si>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</si>
  <si>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</si>
  <si>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</si>
  <si>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</si>
  <si>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</si>
  <si>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</si>
  <si>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</si>
  <si>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</si>
  <si>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</si>
  <si>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</si>
  <si>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</si>
  <si>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</si>
  <si>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</si>
  <si>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</si>
  <si>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</si>
  <si>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</si>
  <si>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</si>
  <si>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</si>
  <si>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</si>
  <si>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</si>
  <si>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</si>
  <si>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</si>
  <si>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</si>
  <si>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</si>
  <si>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</si>
  <si>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</si>
  <si>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</si>
  <si>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</si>
  <si>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</si>
  <si>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</si>
  <si>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</si>
  <si>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</si>
  <si>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</si>
  <si>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</si>
  <si>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</si>
  <si>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Besluit Lars 20 september 2026: 2 uur banen, 19:00 tot 21:00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</si>
  <si>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</si>
  <si>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</si>
  <si>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</si>
  <si>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</si>
  <si>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</si>
  <si>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</si>
  <si>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</si>
  <si>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</si>
  <si>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</si>
  <si>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</si>
  <si>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</si>
  <si>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</si>
  <si>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+ 4 hapjes samen €8,00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</si>
  <si>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</si>
  <si>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</si>
  <si>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</si>
  <si>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</si>
  <si>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</si>
  <si>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</si>
  <si>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</si>
  <si>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</si>
  <si>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</si>
  <si>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</si>
  <si>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Gratis baanuren voor matches (0 = geen, besluit Lars)</t>
  </si>
  <si>
    <t xml:space="preserve">matches</t>
  </si>
  <si>
    <t xml:space="preserve">Vervallen op 20 september 2026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</si>
  <si>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</si>
  <si>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</si>
  <si>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</si>
  <si>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</si>
  <si>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</si>
  <si>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</si>
  <si>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</si>
  <si>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</si>
  <si>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</si>
  <si>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Welkomstdrankje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</si>
  <si>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</si>
  <si>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</si>
  <si>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</si>
  <si>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</si>
  <si>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</si>
  <si>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</si>
  <si>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</si>
  <si>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</si>
  <si>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</si>
  <si>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</si>
  <si>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</si>
  <si>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</si>
  <si>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</si>
  <si>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</si>
  <si>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</si>
  <si>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</si>
  <si>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</si>
  <si>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</si>
  <si>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</si>
  <si>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</si>
  <si>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</si>
  <si>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</si>
  <si>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</si>
  <si>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</si>
  <si>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</si>
  <si>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</si>
  <si>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</si>
  <si>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</si>
  <si>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</si>
  <si>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</si>
  <si>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</si>
  <si>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</si>
  <si>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</si>
  <si>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</si>
  <si>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</si>
  <si>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</si>
  <si>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</si>
  <si>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11. Definitief (20 sept): 6 banen €22,50 × 2 uur, welkomstdrankje + hapjes €8, Lars host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</si>
  <si>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</si>
  <si>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</si>
  <si>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</si>
  <si>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Padel &amp; Quiz – kostenplaatje en marge (zaterdagavond, teams van 4)</t>
  </si>
  <si>
    <t xml:space="preserve">Blauw = invoer. Geel = te bevestigen bij Poort Padel. Marge = winst als % van de omzet excl. btw (doel 30%). Prijzen worden door Poort Padel gegeven (kosten €0).</t>
  </si>
  <si>
    <t xml:space="preserve">Deelnemers (quizteams van 4)</t>
  </si>
  <si>
    <t xml:space="preserve">Min 24, doel 32, max 40; alleen, met 2 of met 4 inschrijven</t>
  </si>
  <si>
    <t xml:space="preserve">Advies €39,50 (Houten €27,50 zonder host en hapjes; Padel Dating €49,50)</t>
  </si>
  <si>
    <t xml:space="preserve">Besluit Lars: 1,5 uur Mexicano, 18:00 tot 19:30</t>
  </si>
  <si>
    <t xml:space="preserve">Besluit Lars: banen worden gehuurd, €22,50 of lager; niet gratis</t>
  </si>
  <si>
    <t xml:space="preserve">Hosturen Lars (host + quizmaster)</t>
  </si>
  <si>
    <t xml:space="preserve">17:00 opbouw tot 22:00</t>
  </si>
  <si>
    <t xml:space="preserve">Inputs (€45 excl. btw)</t>
  </si>
  <si>
    <t xml:space="preserve">Welkomstdrankje + hapjes p.p. (afspraak Poort Padel)</t>
  </si>
  <si>
    <t xml:space="preserve">Zelfde arrangement als Padel Dating</t>
  </si>
  <si>
    <t xml:space="preserve">Materialen (antwoordvellen, beeldronde-prints, pennen, ballen)</t>
  </si>
  <si>
    <t xml:space="preserve">Scherm en geluid van Poort Padel</t>
  </si>
  <si>
    <t xml:space="preserve">Poort Padel geeft de prijzen? (1 = ja, 0 = ACA betaalt)</t>
  </si>
  <si>
    <t xml:space="preserve">Afspraak Lars: Poort Padel geeft de prijzen</t>
  </si>
  <si>
    <t xml:space="preserve">Waarde prijzenpakket als ACA het zelf betaalt</t>
  </si>
  <si>
    <t xml:space="preserve">9 baanuren tegen lijstprijs + drankjes, hapjes, ballen en grips; winkelwaarde ± €500 (events/padel-quiz.md par. 5)</t>
  </si>
  <si>
    <t xml:space="preserve">Banen (4 spelers per baan)</t>
  </si>
  <si>
    <t xml:space="preserve">Welkomstdrankje + hapjes</t>
  </si>
  <si>
    <t xml:space="preserve">Host / quizmaster (Lars)</t>
  </si>
  <si>
    <t xml:space="preserve">Prijzen (0 als Poort Padel ze geeft)</t>
  </si>
  <si>
    <t xml:space="preserve">Naar Poort Padel (banen + drankje + hapjes)</t>
  </si>
  <si>
    <t xml:space="preserve">Maximaal baantarief per uur bij deze prijs en doelmarge</t>
  </si>
  <si>
    <t xml:space="preserve">Break-even aantal deelnemers (banen schalen mee)</t>
  </si>
  <si>
    <t xml:space="preserve">Per deelnemersaantal (prijs, tarief en arrangement volgen de invoer hierboven)</t>
  </si>
  <si>
    <t xml:space="preserve">Deelnemers</t>
  </si>
  <si>
    <t xml:space="preserve">Teams</t>
  </si>
  <si>
    <t xml:space="preserve">Drankje + hapjes</t>
  </si>
  <si>
    <t xml:space="preserve">Host</t>
  </si>
  <si>
    <t xml:space="preserve">Materialen + prijzen</t>
  </si>
  <si>
    <t xml:space="preserve">Benchmark: Sportclub Houten 'Pubquiz, Padel &amp; Pizza' €27,50 p.p. (1,5 uur baan excl. materiaal, pizza, quiz met drankje, teams van 4). The Padellers 'Pubquiz &amp; Padeltoernooi' €25 per koppel incl. materiaal, hoofdprijs een gratis padelsessie, shotrondes. Cafés vragen €5 tot €6,25 p.p. voor een losse pubquiz.</t>
  </si>
  <si>
    <t xml:space="preserve">Poort Padel verdient aan dit event vooral aan de bar tijdens de quiz (90 minuten, 32 tot 40 mensen aan tafel; horeca-benchmark €15 tot €25 p.p.). Daarom: prijzen door Poort Padel en het baantarief van Padel Dating.</t>
  </si>
  <si>
    <t xml:space="preserve">Onder de 24 deelnemers is de avond verliesgevend door de vaste hostkosten; verplaats dan of laat Lars alleen de quiz doen zonder betaald hostuur.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</si>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</sst>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4.08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0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270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97.92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650.5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27.1041666666667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331.318181818182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0.337453703703704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462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19.25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46.8514880952381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762.58</v>
      </c>
      <c r="L55" s="17" t="n">
        <f aca="false">J55-K55</f>
        <v>219.238181818182</v>
      </c>
      <c r="M55" s="35" t="n">
        <f aca="false">IF(J55&gt;0,L55/J55,0)</f>
        <v>0.223298148148148</v>
      </c>
      <c r="N55" s="17" t="n">
        <f aca="false">B55*$B$8*C55+$B$4*D55*E55+$B$4*$B$15*$B$16+IF(H55=1,0,$B$21*C55)</f>
        <v>574.08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6" t="s">
        <v>292</v>
      </c>
      <c r="B57" s="14" t="n">
        <v>6</v>
      </c>
      <c r="C57" s="10" t="n">
        <v>22.5</v>
      </c>
      <c r="D57" s="14" t="n">
        <v>1</v>
      </c>
      <c r="E57" s="10" t="n">
        <v>4.08</v>
      </c>
      <c r="F57" s="14" t="n">
        <v>1</v>
      </c>
      <c r="G57" s="14" t="n">
        <v>1</v>
      </c>
      <c r="H57" s="14" t="n">
        <v>1</v>
      </c>
      <c r="I57" s="10" t="n">
        <v>49.5</v>
      </c>
      <c r="J57" s="17" t="n">
        <f aca="false">$B$4*I57/(1+$B$6)</f>
        <v>981.818181818182</v>
      </c>
      <c r="K57" s="17" t="n">
        <f aca="false">B57*$B$8*C57+$B$4*D57*E57+$B$4*$B$15*$B$16+IF(H57=1,0,$B$21*C57)+F57*$B$11*$B$12+$B$17+IF(G57=1,0,$B$18*$B$19)</f>
        <v>650.5</v>
      </c>
      <c r="L57" s="17" t="n">
        <f aca="false">J57-K57</f>
        <v>331.318181818182</v>
      </c>
      <c r="M57" s="35" t="n">
        <f aca="false">IF(J57&gt;0,L57/J57,0)</f>
        <v>0.337453703703704</v>
      </c>
      <c r="N57" s="17" t="n">
        <f aca="false">B57*$B$8*C57+$B$4*D57*E57+$B$4*$B$15*$B$16+IF(H57=1,0,$B$21*C57)</f>
        <v>462</v>
      </c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customFormat="false" ht="15" hidden="false" customHeight="false" outlineLevel="0" collapsed="false">
      <c r="A61" s="3" t="s">
        <v>295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2" min="5" style="0" width="15"/>
  </cols>
  <sheetData>
    <row r="1" customFormat="false" ht="17.35" hidden="false" customHeight="false" outlineLevel="0" collapsed="false">
      <c r="A1" s="1" t="s">
        <v>296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297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19" t="s">
        <v>298</v>
      </c>
      <c r="B4" s="24" t="n">
        <v>32</v>
      </c>
      <c r="C4" s="19" t="s">
        <v>29</v>
      </c>
      <c r="D4" s="25" t="s">
        <v>299</v>
      </c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19" t="s">
        <v>209</v>
      </c>
      <c r="B5" s="26" t="n">
        <v>39.5</v>
      </c>
      <c r="C5" s="19" t="s">
        <v>56</v>
      </c>
      <c r="D5" s="25" t="s">
        <v>300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19" t="s">
        <v>216</v>
      </c>
      <c r="B7" s="24" t="n">
        <v>1.5</v>
      </c>
      <c r="C7" s="19" t="s">
        <v>217</v>
      </c>
      <c r="D7" s="25" t="s">
        <v>301</v>
      </c>
      <c r="E7" s="2"/>
      <c r="F7" s="2"/>
      <c r="G7" s="2"/>
      <c r="H7" s="2"/>
      <c r="I7" s="2"/>
      <c r="J7" s="2"/>
      <c r="K7" s="2"/>
      <c r="L7" s="2"/>
    </row>
    <row r="8" customFormat="false" ht="15" hidden="false" customHeight="false" outlineLevel="0" collapsed="false">
      <c r="A8" s="19" t="s">
        <v>219</v>
      </c>
      <c r="B8" s="28" t="n">
        <v>22.5</v>
      </c>
      <c r="C8" s="19" t="s">
        <v>20</v>
      </c>
      <c r="D8" s="25" t="s">
        <v>302</v>
      </c>
      <c r="E8" s="2"/>
      <c r="F8" s="2"/>
      <c r="G8" s="2"/>
      <c r="H8" s="2"/>
      <c r="I8" s="2"/>
      <c r="J8" s="2"/>
      <c r="K8" s="2"/>
      <c r="L8" s="2"/>
    </row>
    <row r="9" customFormat="false" ht="15" hidden="false" customHeight="false" outlineLevel="0" collapsed="false">
      <c r="A9" s="19" t="s">
        <v>303</v>
      </c>
      <c r="B9" s="24" t="n">
        <v>5</v>
      </c>
      <c r="C9" s="19" t="s">
        <v>217</v>
      </c>
      <c r="D9" s="25" t="s">
        <v>304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19" t="s">
        <v>225</v>
      </c>
      <c r="B10" s="29" t="n">
        <f aca="false">Inputs!$C$13</f>
        <v>45</v>
      </c>
      <c r="C10" s="19" t="s">
        <v>20</v>
      </c>
      <c r="D10" s="25" t="s">
        <v>305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19" t="s">
        <v>306</v>
      </c>
      <c r="B11" s="28" t="n">
        <v>8</v>
      </c>
      <c r="C11" s="19" t="s">
        <v>56</v>
      </c>
      <c r="D11" s="25" t="s">
        <v>307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19" t="s">
        <v>308</v>
      </c>
      <c r="B12" s="26" t="n">
        <v>35</v>
      </c>
      <c r="C12" s="19" t="s">
        <v>56</v>
      </c>
      <c r="D12" s="25" t="s">
        <v>309</v>
      </c>
      <c r="E12" s="2"/>
      <c r="F12" s="2"/>
      <c r="G12" s="2"/>
      <c r="H12" s="2"/>
      <c r="I12" s="2"/>
      <c r="J12" s="2"/>
      <c r="K12" s="2"/>
      <c r="L12" s="2"/>
    </row>
    <row r="13" customFormat="false" ht="15" hidden="false" customHeight="false" outlineLevel="0" collapsed="false">
      <c r="A13" s="19" t="s">
        <v>310</v>
      </c>
      <c r="B13" s="20" t="n">
        <v>1</v>
      </c>
      <c r="C13" s="19" t="s">
        <v>187</v>
      </c>
      <c r="D13" s="25" t="s">
        <v>311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19" t="s">
        <v>312</v>
      </c>
      <c r="B14" s="26" t="n">
        <v>420</v>
      </c>
      <c r="C14" s="19" t="s">
        <v>56</v>
      </c>
      <c r="D14" s="25" t="s">
        <v>313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19" t="s">
        <v>247</v>
      </c>
      <c r="B15" s="30" t="n">
        <v>0.3</v>
      </c>
      <c r="C15" s="19" t="s">
        <v>10</v>
      </c>
      <c r="D15" s="25" t="s">
        <v>248</v>
      </c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9" t="s">
        <v>249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19" t="s">
        <v>314</v>
      </c>
      <c r="B18" s="34" t="n">
        <f aca="false">CEILING($B$4/4,1)</f>
        <v>8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19" t="s">
        <v>250</v>
      </c>
      <c r="B19" s="31" t="n">
        <f aca="false">$B$4*$B$5</f>
        <v>1264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19" t="s">
        <v>251</v>
      </c>
      <c r="B20" s="31" t="n">
        <f aca="false">$B$4*$B$5/(1+$B$6)</f>
        <v>1044.62809917355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19" t="s">
        <v>252</v>
      </c>
      <c r="B21" s="31" t="n">
        <f aca="false">CEILING($B$4/4,1)*$B$7*$B$8</f>
        <v>270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19" t="s">
        <v>315</v>
      </c>
      <c r="B22" s="31" t="n">
        <f aca="false">$B$4*$B$11</f>
        <v>256</v>
      </c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19" t="s">
        <v>316</v>
      </c>
      <c r="B23" s="31" t="n">
        <f aca="false">$B$9*$B$10</f>
        <v>225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19" t="s">
        <v>256</v>
      </c>
      <c r="B24" s="31" t="n">
        <f aca="false">$B$12</f>
        <v>35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5" hidden="false" customHeight="false" outlineLevel="0" collapsed="false">
      <c r="A25" s="19" t="s">
        <v>317</v>
      </c>
      <c r="B25" s="31" t="n">
        <f aca="false">IF($B$13=1,0,$B$14)</f>
        <v>0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5" hidden="false" customHeight="false" outlineLevel="0" collapsed="false">
      <c r="A26" s="9" t="s">
        <v>259</v>
      </c>
      <c r="B26" s="32" t="n">
        <f aca="false">SUM(B21:B25)</f>
        <v>786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5" hidden="false" customHeight="false" outlineLevel="0" collapsed="false">
      <c r="A27" s="19" t="s">
        <v>260</v>
      </c>
      <c r="B27" s="31" t="n">
        <f aca="false">$B$26/$B$4</f>
        <v>24.5625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5" hidden="false" customHeight="false" outlineLevel="0" collapsed="false">
      <c r="A28" s="9" t="s">
        <v>261</v>
      </c>
      <c r="B28" s="32" t="n">
        <f aca="false">$B$20-$B$26</f>
        <v>258.628099173554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9" t="s">
        <v>262</v>
      </c>
      <c r="B29" s="33" t="n">
        <f aca="false">$B$28/$B$20</f>
        <v>0.247579113924051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9" t="s">
        <v>318</v>
      </c>
      <c r="B30" s="32" t="n">
        <f aca="false">$B$21+$B$22</f>
        <v>526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9" t="s">
        <v>266</v>
      </c>
      <c r="B31" s="32" t="n">
        <f aca="false">$B$26/(1-$B$15)/$B$4*(1+$B$6)</f>
        <v>42.4580357142857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9" t="s">
        <v>319</v>
      </c>
      <c r="B32" s="32" t="n">
        <f aca="false">($B$20*(1-$B$15)-$B$22-$B$23-$B$24-$B$25)/(CEILING($B$4/4,1)*$B$7)</f>
        <v>17.9366391184573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5" hidden="false" customHeight="false" outlineLevel="0" collapsed="false">
      <c r="A33" s="19" t="s">
        <v>320</v>
      </c>
      <c r="B33" s="34" t="n">
        <f aca="false">CEILING(($B$23+$B$24+$B$25)/($B$5/(1+$B$6)-$B$11-$B$7*$B$8/4),1)</f>
        <v>17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false" outlineLevel="0" collapsed="false">
      <c r="A35" s="9" t="s">
        <v>321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false" outlineLevel="0" collapsed="false">
      <c r="A36" s="4" t="s">
        <v>322</v>
      </c>
      <c r="B36" s="4" t="s">
        <v>323</v>
      </c>
      <c r="C36" s="4" t="s">
        <v>168</v>
      </c>
      <c r="D36" s="4" t="s">
        <v>252</v>
      </c>
      <c r="E36" s="4" t="s">
        <v>324</v>
      </c>
      <c r="F36" s="4" t="s">
        <v>325</v>
      </c>
      <c r="G36" s="4" t="s">
        <v>326</v>
      </c>
      <c r="H36" s="4" t="s">
        <v>278</v>
      </c>
      <c r="I36" s="4" t="s">
        <v>277</v>
      </c>
      <c r="J36" s="4" t="s">
        <v>279</v>
      </c>
      <c r="K36" s="4" t="s">
        <v>280</v>
      </c>
      <c r="L36" s="4" t="s">
        <v>281</v>
      </c>
    </row>
    <row r="37" customFormat="false" ht="15" hidden="false" customHeight="false" outlineLevel="0" collapsed="false">
      <c r="A37" s="14" t="n">
        <v>16</v>
      </c>
      <c r="B37" s="18" t="n">
        <f aca="false">A37/4</f>
        <v>4</v>
      </c>
      <c r="C37" s="18" t="n">
        <f aca="false">CEILING(A37/4,1)</f>
        <v>4</v>
      </c>
      <c r="D37" s="17" t="n">
        <f aca="false">C37*$B$7*$B$8</f>
        <v>135</v>
      </c>
      <c r="E37" s="17" t="n">
        <f aca="false">A37*$B$11</f>
        <v>128</v>
      </c>
      <c r="F37" s="17" t="n">
        <f aca="false">$B$23</f>
        <v>225</v>
      </c>
      <c r="G37" s="17" t="n">
        <f aca="false">$B$24+$B$25</f>
        <v>35</v>
      </c>
      <c r="H37" s="17" t="n">
        <f aca="false">SUM(D37:G37)</f>
        <v>523</v>
      </c>
      <c r="I37" s="17" t="n">
        <f aca="false">A37*$B$5/(1+$B$6)</f>
        <v>522.314049586777</v>
      </c>
      <c r="J37" s="17" t="n">
        <f aca="false">I37-H37</f>
        <v>-0.685950413223168</v>
      </c>
      <c r="K37" s="35" t="n">
        <f aca="false">IF(I37&gt;0,J37/I37,0)</f>
        <v>-0.00131329113924056</v>
      </c>
      <c r="L37" s="17" t="n">
        <f aca="false">D37+E37</f>
        <v>263</v>
      </c>
    </row>
    <row r="38" customFormat="false" ht="15" hidden="false" customHeight="false" outlineLevel="0" collapsed="false">
      <c r="A38" s="14" t="n">
        <v>20</v>
      </c>
      <c r="B38" s="18" t="n">
        <f aca="false">A38/4</f>
        <v>5</v>
      </c>
      <c r="C38" s="18" t="n">
        <f aca="false">CEILING(A38/4,1)</f>
        <v>5</v>
      </c>
      <c r="D38" s="17" t="n">
        <f aca="false">C38*$B$7*$B$8</f>
        <v>168.75</v>
      </c>
      <c r="E38" s="17" t="n">
        <f aca="false">A38*$B$11</f>
        <v>160</v>
      </c>
      <c r="F38" s="17" t="n">
        <f aca="false">$B$23</f>
        <v>225</v>
      </c>
      <c r="G38" s="17" t="n">
        <f aca="false">$B$24+$B$25</f>
        <v>35</v>
      </c>
      <c r="H38" s="17" t="n">
        <f aca="false">SUM(D38:G38)</f>
        <v>588.75</v>
      </c>
      <c r="I38" s="17" t="n">
        <f aca="false">A38*$B$5/(1+$B$6)</f>
        <v>652.892561983471</v>
      </c>
      <c r="J38" s="17" t="n">
        <f aca="false">I38-H38</f>
        <v>64.1425619834711</v>
      </c>
      <c r="K38" s="35" t="n">
        <f aca="false">IF(I38&gt;0,J38/I38,0)</f>
        <v>0.0982436708860759</v>
      </c>
      <c r="L38" s="17" t="n">
        <f aca="false">D38+E38</f>
        <v>328.75</v>
      </c>
    </row>
    <row r="39" customFormat="false" ht="15" hidden="false" customHeight="false" outlineLevel="0" collapsed="false">
      <c r="A39" s="14" t="n">
        <v>24</v>
      </c>
      <c r="B39" s="18" t="n">
        <f aca="false">A39/4</f>
        <v>6</v>
      </c>
      <c r="C39" s="18" t="n">
        <f aca="false">CEILING(A39/4,1)</f>
        <v>6</v>
      </c>
      <c r="D39" s="17" t="n">
        <f aca="false">C39*$B$7*$B$8</f>
        <v>202.5</v>
      </c>
      <c r="E39" s="17" t="n">
        <f aca="false">A39*$B$11</f>
        <v>192</v>
      </c>
      <c r="F39" s="17" t="n">
        <f aca="false">$B$23</f>
        <v>225</v>
      </c>
      <c r="G39" s="17" t="n">
        <f aca="false">$B$24+$B$25</f>
        <v>35</v>
      </c>
      <c r="H39" s="17" t="n">
        <f aca="false">SUM(D39:G39)</f>
        <v>654.5</v>
      </c>
      <c r="I39" s="17" t="n">
        <f aca="false">A39*$B$5/(1+$B$6)</f>
        <v>783.471074380165</v>
      </c>
      <c r="J39" s="17" t="n">
        <f aca="false">I39-H39</f>
        <v>128.971074380165</v>
      </c>
      <c r="K39" s="35" t="n">
        <f aca="false">IF(I39&gt;0,J39/I39,0)</f>
        <v>0.164614978902954</v>
      </c>
      <c r="L39" s="17" t="n">
        <f aca="false">D39+E39</f>
        <v>394.5</v>
      </c>
    </row>
    <row r="40" customFormat="false" ht="15" hidden="false" customHeight="false" outlineLevel="0" collapsed="false">
      <c r="A40" s="14" t="n">
        <v>28</v>
      </c>
      <c r="B40" s="18" t="n">
        <f aca="false">A40/4</f>
        <v>7</v>
      </c>
      <c r="C40" s="18" t="n">
        <f aca="false">CEILING(A40/4,1)</f>
        <v>7</v>
      </c>
      <c r="D40" s="17" t="n">
        <f aca="false">C40*$B$7*$B$8</f>
        <v>236.25</v>
      </c>
      <c r="E40" s="17" t="n">
        <f aca="false">A40*$B$11</f>
        <v>224</v>
      </c>
      <c r="F40" s="17" t="n">
        <f aca="false">$B$23</f>
        <v>225</v>
      </c>
      <c r="G40" s="17" t="n">
        <f aca="false">$B$24+$B$25</f>
        <v>35</v>
      </c>
      <c r="H40" s="17" t="n">
        <f aca="false">SUM(D40:G40)</f>
        <v>720.25</v>
      </c>
      <c r="I40" s="17" t="n">
        <f aca="false">A40*$B$5/(1+$B$6)</f>
        <v>914.04958677686</v>
      </c>
      <c r="J40" s="17" t="n">
        <f aca="false">I40-H40</f>
        <v>193.79958677686</v>
      </c>
      <c r="K40" s="35" t="n">
        <f aca="false">IF(I40&gt;0,J40/I40,0)</f>
        <v>0.212023056057866</v>
      </c>
      <c r="L40" s="17" t="n">
        <f aca="false">D40+E40</f>
        <v>460.25</v>
      </c>
    </row>
    <row r="41" customFormat="false" ht="15" hidden="false" customHeight="false" outlineLevel="0" collapsed="false">
      <c r="A41" s="14" t="n">
        <v>32</v>
      </c>
      <c r="B41" s="18" t="n">
        <f aca="false">A41/4</f>
        <v>8</v>
      </c>
      <c r="C41" s="18" t="n">
        <f aca="false">CEILING(A41/4,1)</f>
        <v>8</v>
      </c>
      <c r="D41" s="17" t="n">
        <f aca="false">C41*$B$7*$B$8</f>
        <v>270</v>
      </c>
      <c r="E41" s="17" t="n">
        <f aca="false">A41*$B$11</f>
        <v>256</v>
      </c>
      <c r="F41" s="17" t="n">
        <f aca="false">$B$23</f>
        <v>225</v>
      </c>
      <c r="G41" s="17" t="n">
        <f aca="false">$B$24+$B$25</f>
        <v>35</v>
      </c>
      <c r="H41" s="17" t="n">
        <f aca="false">SUM(D41:G41)</f>
        <v>786</v>
      </c>
      <c r="I41" s="17" t="n">
        <f aca="false">A41*$B$5/(1+$B$6)</f>
        <v>1044.62809917355</v>
      </c>
      <c r="J41" s="17" t="n">
        <f aca="false">I41-H41</f>
        <v>258.628099173554</v>
      </c>
      <c r="K41" s="35" t="n">
        <f aca="false">IF(I41&gt;0,J41/I41,0)</f>
        <v>0.247579113924051</v>
      </c>
      <c r="L41" s="17" t="n">
        <f aca="false">D41+E41</f>
        <v>526</v>
      </c>
    </row>
    <row r="42" customFormat="false" ht="15" hidden="false" customHeight="false" outlineLevel="0" collapsed="false">
      <c r="A42" s="14" t="n">
        <v>36</v>
      </c>
      <c r="B42" s="18" t="n">
        <f aca="false">A42/4</f>
        <v>9</v>
      </c>
      <c r="C42" s="18" t="n">
        <f aca="false">CEILING(A42/4,1)</f>
        <v>9</v>
      </c>
      <c r="D42" s="17" t="n">
        <f aca="false">C42*$B$7*$B$8</f>
        <v>303.75</v>
      </c>
      <c r="E42" s="17" t="n">
        <f aca="false">A42*$B$11</f>
        <v>288</v>
      </c>
      <c r="F42" s="17" t="n">
        <f aca="false">$B$23</f>
        <v>225</v>
      </c>
      <c r="G42" s="17" t="n">
        <f aca="false">$B$24+$B$25</f>
        <v>35</v>
      </c>
      <c r="H42" s="17" t="n">
        <f aca="false">SUM(D42:G42)</f>
        <v>851.75</v>
      </c>
      <c r="I42" s="17" t="n">
        <f aca="false">A42*$B$5/(1+$B$6)</f>
        <v>1175.20661157025</v>
      </c>
      <c r="J42" s="17" t="n">
        <f aca="false">I42-H42</f>
        <v>323.456611570248</v>
      </c>
      <c r="K42" s="35" t="n">
        <f aca="false">IF(I42&gt;0,J42/I42,0)</f>
        <v>0.27523382559775</v>
      </c>
      <c r="L42" s="17" t="n">
        <f aca="false">D42+E42</f>
        <v>591.75</v>
      </c>
    </row>
    <row r="43" customFormat="false" ht="15" hidden="false" customHeight="false" outlineLevel="0" collapsed="false">
      <c r="A43" s="14" t="n">
        <v>40</v>
      </c>
      <c r="B43" s="18" t="n">
        <f aca="false">A43/4</f>
        <v>10</v>
      </c>
      <c r="C43" s="18" t="n">
        <f aca="false">CEILING(A43/4,1)</f>
        <v>10</v>
      </c>
      <c r="D43" s="17" t="n">
        <f aca="false">C43*$B$7*$B$8</f>
        <v>337.5</v>
      </c>
      <c r="E43" s="17" t="n">
        <f aca="false">A43*$B$11</f>
        <v>320</v>
      </c>
      <c r="F43" s="17" t="n">
        <f aca="false">$B$23</f>
        <v>225</v>
      </c>
      <c r="G43" s="17" t="n">
        <f aca="false">$B$24+$B$25</f>
        <v>35</v>
      </c>
      <c r="H43" s="17" t="n">
        <f aca="false">SUM(D43:G43)</f>
        <v>917.5</v>
      </c>
      <c r="I43" s="17" t="n">
        <f aca="false">A43*$B$5/(1+$B$6)</f>
        <v>1305.78512396694</v>
      </c>
      <c r="J43" s="17" t="n">
        <f aca="false">I43-H43</f>
        <v>388.285123966942</v>
      </c>
      <c r="K43" s="35" t="n">
        <f aca="false">IF(I43&gt;0,J43/I43,0)</f>
        <v>0.297357594936709</v>
      </c>
      <c r="L43" s="17" t="n">
        <f aca="false">D43+E43</f>
        <v>657.5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5" hidden="false" customHeight="false" outlineLevel="0" collapsed="false">
      <c r="A45" s="3" t="s">
        <v>327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false" outlineLevel="0" collapsed="false">
      <c r="A46" s="3" t="s">
        <v>328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false" outlineLevel="0" collapsed="false">
      <c r="A47" s="3" t="s">
        <v>329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330</v>
      </c>
      <c r="B1" s="19" t="s">
        <v>331</v>
      </c>
    </row>
    <row r="2" customFormat="false" ht="15" hidden="false" customHeight="false" outlineLevel="0" collapsed="false">
      <c r="A2" s="9" t="s">
        <v>332</v>
      </c>
      <c r="B2" s="19" t="s">
        <v>333</v>
      </c>
    </row>
    <row r="3" customFormat="false" ht="15" hidden="false" customHeight="false" outlineLevel="0" collapsed="false">
      <c r="A3" s="9" t="s">
        <v>334</v>
      </c>
      <c r="B3" s="19" t="s">
        <v>335</v>
      </c>
    </row>
    <row r="4" customFormat="false" ht="15" hidden="false" customHeight="false" outlineLevel="0" collapsed="false">
      <c r="A4" s="9" t="s">
        <v>336</v>
      </c>
      <c r="B4" s="19" t="s">
        <v>337</v>
      </c>
    </row>
    <row r="5" customFormat="false" ht="15" hidden="false" customHeight="false" outlineLevel="0" collapsed="false">
      <c r="A5" s="9" t="s">
        <v>338</v>
      </c>
      <c r="B5" s="19" t="s">
        <v>339</v>
      </c>
    </row>
    <row r="6" customFormat="false" ht="15" hidden="false" customHeight="false" outlineLevel="0" collapsed="false">
      <c r="A6" s="9" t="s">
        <v>340</v>
      </c>
      <c r="B6" s="19" t="s">
        <v>341</v>
      </c>
    </row>
    <row r="7" customFormat="false" ht="15" hidden="false" customHeight="false" outlineLevel="0" collapsed="false">
      <c r="A7" s="9" t="s">
        <v>342</v>
      </c>
      <c r="B7" s="19" t="s">
        <v>343</v>
      </c>
    </row>
    <row r="8" customFormat="false" ht="15" hidden="false" customHeight="false" outlineLevel="0" collapsed="false">
      <c r="A8" s="9" t="s">
        <v>344</v>
      </c>
      <c r="B8" s="19" t="s">
        <v>345</v>
      </c>
    </row>
    <row r="9" customFormat="false" ht="15" hidden="false" customHeight="false" outlineLevel="0" collapsed="false">
      <c r="A9" s="9" t="s">
        <v>211</v>
      </c>
      <c r="B9" s="19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2026-09-20T18:37:53Z</dcterms:created>
  <dc:creator>openpyxl</dc:creator>
  <dc:description/>
  <dc:language>en-US</dc:language>
  <cp:lastModifiedBy/>
  <dcterms:modified xsi:type="dcterms:W3CDTF">2026-09-20T18:37:53Z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