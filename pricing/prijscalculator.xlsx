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rrangementen" sheetId="2" state="visible" r:id="rId4"/>
    <sheet name="Add-ons" sheetId="3" state="visible" r:id="rId5"/>
    <sheet name="Scholen" sheetId="4" state="visible" r:id="rId6"/>
    <sheet name="Offerte" sheetId="5" state="visible" r:id="rId7"/>
    <sheet name="Padel Dating" sheetId="6" state="visible" r:id="rId8"/>
    <sheet name="Padel &amp; Quiz" sheetId="7" state="visible" r:id="rId9"/>
    <sheet name="Legend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3" authorId="0">
      <text>
        <r>
          <rPr>
            <sz val="10"/>
            <rFont val="Arial"/>
            <family val="2"/>
          </rPr>
          <t xml:space="preserve">Aanname. Vul het werkelijke uurtarief van je coaches in (loonkosten of zzp-tarief).</t>
        </r>
      </text>
    </comment>
    <comment ref="C26" authorId="0">
      <text>
        <r>
          <rPr>
            <sz val="10"/>
            <rFont val="Arial"/>
            <family val="2"/>
          </rPr>
          <t xml:space="preserve">Uitgelezen uit de reserveringswizard op reserveren.poortpadel.nl (stap 2 toont de prijs). 1 uur kost evenveel als 4 uur.</t>
        </r>
      </text>
    </comment>
  </commentList>
</comments>
</file>

<file path=xl/sharedStrings.xml><?xml version="1.0" encoding="utf-8"?>
<sst xmlns="http://schemas.openxmlformats.org/spreadsheetml/2006/main" count="495" uniqueCount="359">
  <si>
    <t xml:space="preserve">All Court Academy – prijscalculator events (inkoop Poort Padel + marge)</t>
  </si>
  <si>
    <t xml:space="preserve">Blauw = invoer die je mag wijzigen. Geel = aanname, nog te verifiëren bij Poort Padel. Zwart = formule.</t>
  </si>
  <si>
    <t xml:space="preserve">Sleutel</t>
  </si>
  <si>
    <t xml:space="preserve">Omschrijving</t>
  </si>
  <si>
    <t xml:space="preserve">Waarde</t>
  </si>
  <si>
    <t xml:space="preserve">Eenheid</t>
  </si>
  <si>
    <t xml:space="preserve">Status</t>
  </si>
  <si>
    <t xml:space="preserve">Bron / toelichting</t>
  </si>
  <si>
    <t xml:space="preserve">marge</t>
  </si>
  <si>
    <t xml:space="preserve">Winstmarge All Court Academy bovenop kostprijs</t>
  </si>
  <si>
    <t xml:space="preserve">%</t>
  </si>
  <si>
    <t xml:space="preserve">Keuze Lars</t>
  </si>
  <si>
    <t xml:space="preserve">Opdracht: +20%</t>
  </si>
  <si>
    <t xml:space="preserve">btw</t>
  </si>
  <si>
    <t xml:space="preserve">BTW-tarief (sport/clinics 9%, horeca 9%, zaalhuur 21%) – info</t>
  </si>
  <si>
    <t xml:space="preserve">Info</t>
  </si>
  <si>
    <t xml:space="preserve">Belastingdienst; prijzen in dit bestand zijn excl. btw</t>
  </si>
  <si>
    <t xml:space="preserve">— Baanhuur dubbelbaan (Playtomic, geverifieerd 9 sep 2026) —</t>
  </si>
  <si>
    <t xml:space="preserve">baan_dal</t>
  </si>
  <si>
    <t xml:space="preserve">Dubbelbaan daluren ma–vr 07:00–17:00, per uur</t>
  </si>
  <si>
    <t xml:space="preserve">€/uur</t>
  </si>
  <si>
    <t xml:space="preserve">Geverifieerd</t>
  </si>
  <si>
    <t xml:space="preserve">playtomic.com/nl/clubs/poort-padel</t>
  </si>
  <si>
    <t xml:space="preserve">baan_piek</t>
  </si>
  <si>
    <t xml:space="preserve">Dubbelbaan piek ma–vr vanaf 17:00, per uur</t>
  </si>
  <si>
    <t xml:space="preserve">baan_wknd</t>
  </si>
  <si>
    <t xml:space="preserve">Dubbelbaan weekend za/zo, per uur</t>
  </si>
  <si>
    <t xml:space="preserve">spelers_per_baan</t>
  </si>
  <si>
    <t xml:space="preserve">Spelers per baan bij events</t>
  </si>
  <si>
    <t xml:space="preserve">pers.</t>
  </si>
  <si>
    <t xml:space="preserve">Standaard dubbelspel</t>
  </si>
  <si>
    <t xml:space="preserve">— Coaching (intern All Court Academy) —</t>
  </si>
  <si>
    <t xml:space="preserve">coach_uur</t>
  </si>
  <si>
    <t xml:space="preserve">Kostprijs coach per uur (incl. reistijd/voorbereiding)</t>
  </si>
  <si>
    <t xml:space="preserve">AANNAME</t>
  </si>
  <si>
    <t xml:space="preserve">Vul eigen coachtarief in</t>
  </si>
  <si>
    <t xml:space="preserve">spelers_per_coach</t>
  </si>
  <si>
    <t xml:space="preserve">Spelers per coach bij een clinic</t>
  </si>
  <si>
    <t xml:space="preserve">2 banen per coach</t>
  </si>
  <si>
    <t xml:space="preserve">spelers_per_leider</t>
  </si>
  <si>
    <t xml:space="preserve">Spelers per toernooileider</t>
  </si>
  <si>
    <t xml:space="preserve">4 banen per begeleider</t>
  </si>
  <si>
    <t xml:space="preserve">ballen_per_baan</t>
  </si>
  <si>
    <t xml:space="preserve">Ballen per baan per event</t>
  </si>
  <si>
    <t xml:space="preserve">€/baan</t>
  </si>
  <si>
    <t xml:space="preserve">Eigen inkoop ACA</t>
  </si>
  <si>
    <t xml:space="preserve">prijzen_event</t>
  </si>
  <si>
    <t xml:space="preserve">Prijsjes/medailles per toernooi</t>
  </si>
  <si>
    <t xml:space="preserve">€/event</t>
  </si>
  <si>
    <t xml:space="preserve">racket_huur</t>
  </si>
  <si>
    <t xml:space="preserve">Rackethuur per persoon (0 = leenrackets ACA)</t>
  </si>
  <si>
    <t xml:space="preserve">€/pers.</t>
  </si>
  <si>
    <t xml:space="preserve">Poort Padel balieprijs niet online</t>
  </si>
  <si>
    <t xml:space="preserve">— Horeca Poort Padel (menukaart juni 2026) —</t>
  </si>
  <si>
    <t xml:space="preserve">drankje</t>
  </si>
  <si>
    <t xml:space="preserve">Gemiddelde prijs per drankje (bier/fris/wijn)</t>
  </si>
  <si>
    <t xml:space="preserve">€</t>
  </si>
  <si>
    <t xml:space="preserve">Wijn €5–6,50 op de kaart; bier/fris niet online</t>
  </si>
  <si>
    <t xml:space="preserve">hapje</t>
  </si>
  <si>
    <t xml:space="preserve">Prijs per borrelhapje (teamschotel 25 st €24,50)</t>
  </si>
  <si>
    <t xml:space="preserve">Menukaart PDF</t>
  </si>
  <si>
    <t xml:space="preserve">koffie</t>
  </si>
  <si>
    <t xml:space="preserve">Koffie/thee per kop</t>
  </si>
  <si>
    <t xml:space="preserve">Niet op online kaart</t>
  </si>
  <si>
    <t xml:space="preserve">lunch_item</t>
  </si>
  <si>
    <t xml:space="preserve">Lunchgerecht gemiddeld (sandwich €10,50–14,50)</t>
  </si>
  <si>
    <t xml:space="preserve">diner_item</t>
  </si>
  <si>
    <t xml:space="preserve">Dinergerecht gemiddeld (burger €17,50 / saté €19,50)</t>
  </si>
  <si>
    <t xml:space="preserve">— Zaalhuur Poort Padel (reserveren.poortpadel.nl, geverifieerd 6 sep 2026, excl. 21% btw) —</t>
  </si>
  <si>
    <t xml:space="preserve">zaal_kantoor_dagdeel</t>
  </si>
  <si>
    <t xml:space="preserve">Vergaderzaal/kantoor (10–12 pers.) per dagdeel (max 4 uur)</t>
  </si>
  <si>
    <t xml:space="preserve">€/dagdeel</t>
  </si>
  <si>
    <t xml:space="preserve">AQQO-wizard: 1 uur en 4 uur = €225; ook op zaterdag</t>
  </si>
  <si>
    <t xml:space="preserve">zaal_kantoor_dag</t>
  </si>
  <si>
    <t xml:space="preserve">Vergaderzaal/kantoor hele dag 08:00–17:00</t>
  </si>
  <si>
    <t xml:space="preserve">€/dag</t>
  </si>
  <si>
    <t xml:space="preserve">AQQO-wizard: 08:00–17:00 = €400</t>
  </si>
  <si>
    <t xml:space="preserve">zaal_skybox_dagdeel</t>
  </si>
  <si>
    <t xml:space="preserve">Skybox Londen/Parijs per dagdeel (max 4 uur)</t>
  </si>
  <si>
    <t xml:space="preserve">AQQO-wizard: 1 uur en 4 uur = €250</t>
  </si>
  <si>
    <t xml:space="preserve">zaal_skybox_dag</t>
  </si>
  <si>
    <t xml:space="preserve">Skybox Londen/Parijs hele dag 08:00–17:00</t>
  </si>
  <si>
    <t xml:space="preserve">AQQO-wizard: 08:00–17:00 = €500</t>
  </si>
  <si>
    <t xml:space="preserve">zaal_congres_dagdeel</t>
  </si>
  <si>
    <t xml:space="preserve">Congreszaal Amsterdam (max 110) per dagdeel (max 4 uur)</t>
  </si>
  <si>
    <t xml:space="preserve">AQQO-wizard: 1 uur en 4 uur = €550</t>
  </si>
  <si>
    <t xml:space="preserve">zaal_congres_dag</t>
  </si>
  <si>
    <t xml:space="preserve">Congreszaal Amsterdam hele dag 08:00–17:00</t>
  </si>
  <si>
    <t xml:space="preserve">AQQO-wizard: 08:00–17:00 = €1.000</t>
  </si>
  <si>
    <t xml:space="preserve">zaal_event_dagdeel</t>
  </si>
  <si>
    <t xml:space="preserve">Evenementenruimte (20–150) per dagdeel overdag (max 4 uur)</t>
  </si>
  <si>
    <t xml:space="preserve">AQQO-wizard: 1 uur en 4 uur = €450</t>
  </si>
  <si>
    <t xml:space="preserve">zaal_event_avond</t>
  </si>
  <si>
    <t xml:space="preserve">Evenementenruimte avond 18:00–22:00</t>
  </si>
  <si>
    <t xml:space="preserve">€/avond</t>
  </si>
  <si>
    <t xml:space="preserve">AQQO-wizard: 18:00–22:00 = €550</t>
  </si>
  <si>
    <t xml:space="preserve">zaal_event_dag</t>
  </si>
  <si>
    <t xml:space="preserve">Evenementenruimte hele dag 08:00–17:00</t>
  </si>
  <si>
    <t xml:space="preserve">AQQO-wizard: 08:00–17:00 = €850</t>
  </si>
  <si>
    <t xml:space="preserve">— Scholen —</t>
  </si>
  <si>
    <t xml:space="preserve">leerlingen_per_baan</t>
  </si>
  <si>
    <t xml:space="preserve">Leerlingen per baan bij schoolclinic (roterend)</t>
  </si>
  <si>
    <t xml:space="preserve">Bij 30 leerlingen = 5 banen</t>
  </si>
  <si>
    <t xml:space="preserve">afronding</t>
  </si>
  <si>
    <t xml:space="preserve">Verkoopprijs afronden op (bv. 0,50)</t>
  </si>
  <si>
    <t xml:space="preserve">Zakelijke padelarrangementen – prijs per persoon (excl. btw, excl. horeca)</t>
  </si>
  <si>
    <t xml:space="preserve">Minimum 16 personen (eis Poort Padel). Kostprijs = baanhuur/spelers + coach + toernooileider + prijzen + ballen. Verkoop = kostprijs x (1+marge).</t>
  </si>
  <si>
    <t xml:space="preserve">Pakket</t>
  </si>
  <si>
    <t xml:space="preserve">Duur baan (uur)</t>
  </si>
  <si>
    <t xml:space="preserve">Clinic-uren coach</t>
  </si>
  <si>
    <t xml:space="preserve">Toernooi-uren leider</t>
  </si>
  <si>
    <t xml:space="preserve">Prijzen?</t>
  </si>
  <si>
    <t xml:space="preserve">Kostprijs daluren</t>
  </si>
  <si>
    <t xml:space="preserve">Kostprijs piek</t>
  </si>
  <si>
    <t xml:space="preserve">Kostprijs weekend</t>
  </si>
  <si>
    <t xml:space="preserve">Verkoop daluren</t>
  </si>
  <si>
    <t xml:space="preserve">Verkoop piek</t>
  </si>
  <si>
    <t xml:space="preserve">Verkoop weekend</t>
  </si>
  <si>
    <t xml:space="preserve">A. Vrij spel (90 min)</t>
  </si>
  <si>
    <t xml:space="preserve">B. Clinic + vrij spel (2 uur)</t>
  </si>
  <si>
    <t xml:space="preserve">C. Toernooi (2 uur, Mexicano / King of the Court)</t>
  </si>
  <si>
    <t xml:space="preserve">D. Clinic + toernooi (3 uur)</t>
  </si>
  <si>
    <t xml:space="preserve">E. Padel Experience XL (4 uur: clinic, toernooi, vrij spel)</t>
  </si>
  <si>
    <t xml:space="preserve">Toelichting</t>
  </si>
  <si>
    <t xml:space="preserve">Daluren = ma–vr 07:00–17:00. Piek = ma–vr vanaf 17:00. Weekend = za/zo.</t>
  </si>
  <si>
    <t xml:space="preserve">Clinic-uren coach: uren dat een coach voor elke groep van 'spelers per coach' actief is.</t>
  </si>
  <si>
    <t xml:space="preserve">Toernooi-uren leider: uren toernooileiding per groep van 'spelers per toernooileider'.</t>
  </si>
  <si>
    <t xml:space="preserve">Prijzen? = 1 als er prijsjes/medailles worden uitgereikt.</t>
  </si>
  <si>
    <t xml:space="preserve">Horeca, zaalhuur en workshops komen hier bovenop (zie tabblad Add-ons).</t>
  </si>
  <si>
    <t xml:space="preserve">Add-ons per persoon of per zaal (excl. btw)</t>
  </si>
  <si>
    <t xml:space="preserve">Add-on</t>
  </si>
  <si>
    <t xml:space="preserve">Samenstelling</t>
  </si>
  <si>
    <t xml:space="preserve">Kostprijs</t>
  </si>
  <si>
    <t xml:space="preserve">Verkoopprijs</t>
  </si>
  <si>
    <t xml:space="preserve">Koffie/thee bij ontvangst</t>
  </si>
  <si>
    <t xml:space="preserve">2 kopjes p.p.</t>
  </si>
  <si>
    <t xml:space="preserve">p.p.</t>
  </si>
  <si>
    <t xml:space="preserve">Borrelarrangement</t>
  </si>
  <si>
    <t xml:space="preserve">2 drankjes + 4 hapjes p.p.</t>
  </si>
  <si>
    <t xml:space="preserve">Borrelarrangement XL</t>
  </si>
  <si>
    <t xml:space="preserve">3 drankjes + 6 hapjes p.p.</t>
  </si>
  <si>
    <t xml:space="preserve">Lunch</t>
  </si>
  <si>
    <t xml:space="preserve">lunchgerecht + drankje + koffie</t>
  </si>
  <si>
    <t xml:space="preserve">Diner</t>
  </si>
  <si>
    <t xml:space="preserve">dinergerecht + 2 drankjes</t>
  </si>
  <si>
    <t xml:space="preserve">Vergaderzaal/kantoor (10–12 pers.)</t>
  </si>
  <si>
    <t xml:space="preserve">dagdeel, max 4 uur</t>
  </si>
  <si>
    <t xml:space="preserve">per zaal</t>
  </si>
  <si>
    <t xml:space="preserve">hele dag 08:00–17:00</t>
  </si>
  <si>
    <t xml:space="preserve">Skybox Londen (6) / Parijs (8)</t>
  </si>
  <si>
    <t xml:space="preserve">per skybox</t>
  </si>
  <si>
    <t xml:space="preserve">Congreszaal Amsterdam (max 110)</t>
  </si>
  <si>
    <t xml:space="preserve">Evenementenruimte (20–150)</t>
  </si>
  <si>
    <t xml:space="preserve">dagdeel overdag, max 4 uur</t>
  </si>
  <si>
    <t xml:space="preserve">avond 18:00–22:00</t>
  </si>
  <si>
    <t xml:space="preserve">Extra coach-uur (bv. clinic verlengen)</t>
  </si>
  <si>
    <t xml:space="preserve">1 uur coach</t>
  </si>
  <si>
    <t xml:space="preserve">per uur</t>
  </si>
  <si>
    <t xml:space="preserve">Extra baanuur daluren</t>
  </si>
  <si>
    <t xml:space="preserve">1 baan, 1 uur</t>
  </si>
  <si>
    <t xml:space="preserve">per baan</t>
  </si>
  <si>
    <t xml:space="preserve">Extra baanuur piek</t>
  </si>
  <si>
    <t xml:space="preserve">Extra baanuur weekend</t>
  </si>
  <si>
    <t xml:space="preserve">Zaalhuur: inkoopprijzen uit het reserveringssysteem van Poort Padel (AQQO), excl. 21% btw. Een dagdeel is een aaneengesloten blok tot 4 uur.</t>
  </si>
  <si>
    <t xml:space="preserve">Schoolarrangementen – daluren ma–vr onder schooltijd (excl. btw)</t>
  </si>
  <si>
    <t xml:space="preserve">Kostprijs = banen x uren x daluren + coaches x uren x coachtarief + ballen. Verkoop = kostprijs x (1+marge).</t>
  </si>
  <si>
    <t xml:space="preserve">Programma</t>
  </si>
  <si>
    <t xml:space="preserve">Leerlingen</t>
  </si>
  <si>
    <t xml:space="preserve">Banen</t>
  </si>
  <si>
    <t xml:space="preserve">Uren</t>
  </si>
  <si>
    <t xml:space="preserve">Coaches</t>
  </si>
  <si>
    <t xml:space="preserve">Kostprijs totaal</t>
  </si>
  <si>
    <t xml:space="preserve">Kostprijs p.l.</t>
  </si>
  <si>
    <t xml:space="preserve">Verkoop p.l.</t>
  </si>
  <si>
    <t xml:space="preserve">Verkoop totaal</t>
  </si>
  <si>
    <t xml:space="preserve">S1. Gymles op locatie – 1 klas, 60 min</t>
  </si>
  <si>
    <t xml:space="preserve">S2. Schoolclinic – 1 klas, 90 min</t>
  </si>
  <si>
    <t xml:space="preserve">S3. Sportdag / sportoriëntatie – 2 klassen, 3 uur roulerend</t>
  </si>
  <si>
    <t xml:space="preserve">S4. Naschools padelprogramma – 4 lessen x 60 min, 8 leerlingen (prijs per les)</t>
  </si>
  <si>
    <t xml:space="preserve">S5. Docenten-/teamuitje (zie Arrangementen B, daluren)</t>
  </si>
  <si>
    <t xml:space="preserve">S4: prijs per les per leerling; een reeks van 4 lessen = 4x. Vervoer naar Poort Padel is voor de school (bushalte op 100 m).</t>
  </si>
  <si>
    <t xml:space="preserve">Snelle offerte – vul de blauwe cellen in</t>
  </si>
  <si>
    <t xml:space="preserve">Aantal deelnemers</t>
  </si>
  <si>
    <t xml:space="preserve">Pakket (1–5: A, B, C, D, E)</t>
  </si>
  <si>
    <t xml:space="preserve">nr</t>
  </si>
  <si>
    <t xml:space="preserve">Tijdvak (1 = daluren, 2 = piek, 3 = weekend)</t>
  </si>
  <si>
    <t xml:space="preserve">Borrelarrangement erbij? (1 = ja)</t>
  </si>
  <si>
    <t xml:space="preserve">ja/nee</t>
  </si>
  <si>
    <t xml:space="preserve">Lunch erbij? (1 = ja)</t>
  </si>
  <si>
    <t xml:space="preserve">Diner erbij? (1 = ja)</t>
  </si>
  <si>
    <t xml:space="preserve">Aantal vergaderzalen (dagdeel)</t>
  </si>
  <si>
    <t xml:space="preserve">zalen</t>
  </si>
  <si>
    <t xml:space="preserve">Berekening</t>
  </si>
  <si>
    <t xml:space="preserve">Gekozen pakket</t>
  </si>
  <si>
    <t xml:space="preserve">Verkoopprijs pakket p.p.</t>
  </si>
  <si>
    <t xml:space="preserve">Pakket totaal</t>
  </si>
  <si>
    <t xml:space="preserve">Borrel p.p.</t>
  </si>
  <si>
    <t xml:space="preserve">Lunch p.p.</t>
  </si>
  <si>
    <t xml:space="preserve">Diner p.p.</t>
  </si>
  <si>
    <t xml:space="preserve">Horeca totaal</t>
  </si>
  <si>
    <t xml:space="preserve">Zaalhuur totaal (vergaderzalen, dagdeel)</t>
  </si>
  <si>
    <t xml:space="preserve">TOTAAL excl. btw</t>
  </si>
  <si>
    <t xml:space="preserve">Prijs per persoon excl. btw</t>
  </si>
  <si>
    <t xml:space="preserve">Waarvan marge All Court Academy (indicatie)</t>
  </si>
  <si>
    <t xml:space="preserve">Check: minimum 16 personen?</t>
  </si>
  <si>
    <t xml:space="preserve">Padel Dating – kostenplaatje en marge (zaterdag 7 november 2026, 19:00–22:00)</t>
  </si>
  <si>
    <t xml:space="preserve">Blauw = invoer. Geel = nog te onderhandelen of te bevestigen. Marge = winst als % van de omzet excl. btw (doel 30%).</t>
  </si>
  <si>
    <t xml:space="preserve">Deelnemers (12 dames + 12 heren)</t>
  </si>
  <si>
    <t xml:space="preserve">Max 24, min 12</t>
  </si>
  <si>
    <t xml:space="preserve">Verkoopprijs p.p. incl. btw</t>
  </si>
  <si>
    <t xml:space="preserve">Poster: €49,50</t>
  </si>
  <si>
    <t xml:space="preserve">Btw</t>
  </si>
  <si>
    <t xml:space="preserve">Inputs</t>
  </si>
  <si>
    <t xml:space="preserve">Banen (4 spelers per baan, iedereen tegelijk)</t>
  </si>
  <si>
    <t xml:space="preserve">banen</t>
  </si>
  <si>
    <t xml:space="preserve">24 deelnemers = 6 banen; 16 = 4; 12 = 3</t>
  </si>
  <si>
    <t xml:space="preserve">Uren per baan</t>
  </si>
  <si>
    <t xml:space="preserve">uur</t>
  </si>
  <si>
    <t xml:space="preserve">Besluit Lars 20 september 2026: 2 uur banen, 19:00 tot 21:00</t>
  </si>
  <si>
    <t xml:space="preserve">Baantarief per uur (afspraak Poort Padel)</t>
  </si>
  <si>
    <t xml:space="preserve">Weekend €37,50 op Playtomic; voorstel Lars €22,50</t>
  </si>
  <si>
    <t xml:space="preserve">Betaalde hosts (Lars zelf niet meegerekend)</t>
  </si>
  <si>
    <t xml:space="preserve">Lars host zelf plus 1 betaalde host</t>
  </si>
  <si>
    <t xml:space="preserve">Uren per host</t>
  </si>
  <si>
    <t xml:space="preserve">Opbouw 17:45 tot einde 22:00 (incl. opruimen)</t>
  </si>
  <si>
    <t xml:space="preserve">Hosttarief per uur</t>
  </si>
  <si>
    <t xml:space="preserve">Inputs (aanname coachtarief)</t>
  </si>
  <si>
    <t xml:space="preserve">Drankjes p.p. (alleen welkomstdrankje)</t>
  </si>
  <si>
    <t xml:space="preserve">stuks</t>
  </si>
  <si>
    <t xml:space="preserve">Besluit Lars: welkomstdrankje + hapjes inbegrepen, rest eigen rekening</t>
  </si>
  <si>
    <t xml:space="preserve">Inkoopprijs per drankje (afspraak Poort Padel)</t>
  </si>
  <si>
    <t xml:space="preserve">Afspraak: welkomstdrankje + 4 hapjes samen €8,00 p.p.</t>
  </si>
  <si>
    <t xml:space="preserve">Hapjes p.p. (aantal)</t>
  </si>
  <si>
    <t xml:space="preserve">Prijs per hapje</t>
  </si>
  <si>
    <t xml:space="preserve">Inputs, teamschotel</t>
  </si>
  <si>
    <t xml:space="preserve">Materialen (ballen, stickers, matchkaartjes, prints)</t>
  </si>
  <si>
    <t xml:space="preserve">Aantal winnaars (1 dame + 1 heer)</t>
  </si>
  <si>
    <t xml:space="preserve">Elke winnaar wint een date voor 2</t>
  </si>
  <si>
    <t xml:space="preserve">Waarde datevoucher BoutiQ per winnaar</t>
  </si>
  <si>
    <t xml:space="preserve">Keuze Lars: €50</t>
  </si>
  <si>
    <t xml:space="preserve">BoutiQ sponsort de vouchers? (1 = ja, 0 = ACA betaalt)</t>
  </si>
  <si>
    <t xml:space="preserve">Lars vraagt het na bij BoutiQ, Grote Markt 3</t>
  </si>
  <si>
    <t xml:space="preserve">Gratis baanuren voor matches (0 = geen, besluit Lars)</t>
  </si>
  <si>
    <t xml:space="preserve">matches</t>
  </si>
  <si>
    <t xml:space="preserve">Vervallen op 20 september 2026</t>
  </si>
  <si>
    <t xml:space="preserve">Poort Padel geeft de match-baanuren gratis? (1 = ja)</t>
  </si>
  <si>
    <t xml:space="preserve">Onderhandelen: matches komen terug als nieuwe boekingen</t>
  </si>
  <si>
    <t xml:space="preserve">Doelmarge (% van omzet excl. btw)</t>
  </si>
  <si>
    <t xml:space="preserve">Keuze Lars: 30%</t>
  </si>
  <si>
    <t xml:space="preserve">Berekening bij de invoer hierboven</t>
  </si>
  <si>
    <t xml:space="preserve">Omzet incl. btw</t>
  </si>
  <si>
    <t xml:space="preserve">Omzet excl. btw</t>
  </si>
  <si>
    <t xml:space="preserve">Baanhuur</t>
  </si>
  <si>
    <t xml:space="preserve">Hosts</t>
  </si>
  <si>
    <t xml:space="preserve">Welkomstdrankje</t>
  </si>
  <si>
    <t xml:space="preserve">Hapjes</t>
  </si>
  <si>
    <t xml:space="preserve">Materialen</t>
  </si>
  <si>
    <t xml:space="preserve">Datevouchers BoutiQ (0 als BoutiQ sponsort)</t>
  </si>
  <si>
    <t xml:space="preserve">Gratis baanuren voor matches (0 als Poort Padel ze geeft)</t>
  </si>
  <si>
    <t xml:space="preserve">Totale kosten</t>
  </si>
  <si>
    <t xml:space="preserve">Kostprijs per persoon</t>
  </si>
  <si>
    <t xml:space="preserve">Winst excl. btw</t>
  </si>
  <si>
    <t xml:space="preserve">Marge (% van omzet excl. btw)</t>
  </si>
  <si>
    <t xml:space="preserve">Naar Poort Padel (banen + drankjes + hapjes + match-uren)</t>
  </si>
  <si>
    <t xml:space="preserve">Naar Poort Padel per persoon</t>
  </si>
  <si>
    <t xml:space="preserve">Break-even aantal deelnemers</t>
  </si>
  <si>
    <t xml:space="preserve">Benodigde prijs incl. btw voor de doelmarge</t>
  </si>
  <si>
    <t xml:space="preserve">Maximaal Poort Padel-arrangement per persoon bij deze prijs en doelmarge</t>
  </si>
  <si>
    <t xml:space="preserve">Scenario's (blauwe cellen per rij aanpassen; de rest volgt de invoer hierboven)</t>
  </si>
  <si>
    <t xml:space="preserve">Scenario</t>
  </si>
  <si>
    <t xml:space="preserve">Baantarief €/uur</t>
  </si>
  <si>
    <t xml:space="preserve">Drankjes p.p.</t>
  </si>
  <si>
    <t xml:space="preserve">€/drankje</t>
  </si>
  <si>
    <t xml:space="preserve">Hosts betaald</t>
  </si>
  <si>
    <t xml:space="preserve">BoutiQ sponsort</t>
  </si>
  <si>
    <t xml:space="preserve">Match-uren gratis</t>
  </si>
  <si>
    <t xml:space="preserve">Prijs incl. btw</t>
  </si>
  <si>
    <t xml:space="preserve">Omzet excl.</t>
  </si>
  <si>
    <t xml:space="preserve">Kosten</t>
  </si>
  <si>
    <t xml:space="preserve">Winst</t>
  </si>
  <si>
    <t xml:space="preserve">Marge</t>
  </si>
  <si>
    <t xml:space="preserve">Naar Poort Padel</t>
  </si>
  <si>
    <t xml:space="preserve">1. Oud format: 3 banen, helft speelt, 2 hosts, weekendtarief, 1 drankje</t>
  </si>
  <si>
    <t xml:space="preserve">2. Format A tegen lijstprijzen: 6 banen €37,50, 4 drankjes à €3,75, 1 host</t>
  </si>
  <si>
    <t xml:space="preserve">3. Format A, afspraak baan €25, drankje €2,50</t>
  </si>
  <si>
    <t xml:space="preserve">4. Format A, afspraak baan €20, drankje €2,50</t>
  </si>
  <si>
    <t xml:space="preserve">5. Als 4, prijs €55</t>
  </si>
  <si>
    <t xml:space="preserve">6. Als 3, prijs €59,50</t>
  </si>
  <si>
    <t xml:space="preserve">7. Als 3, 2 drankjes i.p.v. 4</t>
  </si>
  <si>
    <t xml:space="preserve">8. Als 4, Lars host alleen (0 betaald)</t>
  </si>
  <si>
    <t xml:space="preserve">9. Als 4, match-uren zelf betalen</t>
  </si>
  <si>
    <t xml:space="preserve">10. Als 4, BoutiQ sponsort niet</t>
  </si>
  <si>
    <t xml:space="preserve">11. Definitief (20 sept): 6 banen €22,50 × 2 uur, welkomstdrankje + hapjes €8, Lars host</t>
  </si>
  <si>
    <t xml:space="preserve">Marge = winst / omzet excl. btw. Format A (besluit Lars 20 september 2026): 6 banen, iedereen tegelijk op de baan, 4 rondes van 12 min spelen en 12 min praten naast de baan, 1 drankje per ronde, Lars host zelf plus 1 betaalde host.</t>
  </si>
  <si>
    <t xml:space="preserve">Onderhandelpunten Poort Padel: daluren- of partnertarief voor de 6 banen (zaterdagavond 19:00–21:00) en een arrangementsprijs per drankje en 3 tot 4 gratis baanuren voor de matches. Tegenprestatie: baromzet in het baruur (24 personen), nieuwe klanten, gezamenlijke promotie.</t>
  </si>
  <si>
    <t xml:space="preserve">BoutiQ: 2 datevouchers van €50 (1 dame, 1 heer wint een date voor 2). Tegenprestatie: logo en naam op poster, feed, story en in de mail naar alle deelnemers; foto van de winnaars bij BoutiQ.</t>
  </si>
  <si>
    <t xml:space="preserve">Padel &amp; Quiz – kostenplaatje en marge (zaterdagavond, teams van 4)</t>
  </si>
  <si>
    <t xml:space="preserve">Blauw = invoer. Geel = te bevestigen bij Poort Padel. Marge = winst als % van de omzet excl. btw (doel 30%). Prijzen worden door Poort Padel gegeven (kosten €0).</t>
  </si>
  <si>
    <t xml:space="preserve">Deelnemers (quizteams van 4)</t>
  </si>
  <si>
    <t xml:space="preserve">Min 24, doel 32, max 40; alleen, met 2 of met 4 inschrijven</t>
  </si>
  <si>
    <t xml:space="preserve">Advies €39,50 (Houten €27,50 zonder host en hapjes; Padel Dating €49,50)</t>
  </si>
  <si>
    <t xml:space="preserve">Besluit Lars: 1,5 uur Mexicano, 18:00 tot 19:30</t>
  </si>
  <si>
    <t xml:space="preserve">Besluit Lars: banen worden gehuurd, €22,50 of lager; niet gratis</t>
  </si>
  <si>
    <t xml:space="preserve">Hosturen Lars (host + quizmaster)</t>
  </si>
  <si>
    <t xml:space="preserve">17:00 opbouw tot 22:00</t>
  </si>
  <si>
    <t xml:space="preserve">Inputs (€45 excl. btw)</t>
  </si>
  <si>
    <t xml:space="preserve">Welkomstdrankje + hapjes p.p. (afspraak Poort Padel)</t>
  </si>
  <si>
    <t xml:space="preserve">Zelfde arrangement als Padel Dating</t>
  </si>
  <si>
    <t xml:space="preserve">Besluit Lars: geen materiaalkosten; printen en ballen uit eigen voorraad, scherm en geluid van Poort Padel</t>
  </si>
  <si>
    <t xml:space="preserve">Poort Padel geeft de prijzen? (1 = ja, 0 = ACA betaalt)</t>
  </si>
  <si>
    <t xml:space="preserve">Afspraak Lars: Poort Padel geeft de prijzen</t>
  </si>
  <si>
    <t xml:space="preserve">Waarde prijzenpakket als ACA het zelf betaalt</t>
  </si>
  <si>
    <t xml:space="preserve">9 baanuren tegen lijstprijs + drankjes, hapjes, ballen en grips; winkelwaarde ± €500 (events/padel-quiz.md par. 5)</t>
  </si>
  <si>
    <t xml:space="preserve">Weekendtarief lijstprijs per baanuur</t>
  </si>
  <si>
    <t xml:space="preserve">Playtomic za/zo, geverifieerd</t>
  </si>
  <si>
    <t xml:space="preserve">Baromzet p.p. tijdens quiz en nazit (schatting)</t>
  </si>
  <si>
    <t xml:space="preserve">3 drankjes à €4 + hapje; Engelse benchmark £12 p.p. in 2,5 uur</t>
  </si>
  <si>
    <t xml:space="preserve">Inkoop prijzenpakket voor Poort Padel</t>
  </si>
  <si>
    <t xml:space="preserve">Drankjes, hapjes, ballen, grips; baanuren kosten geen cash</t>
  </si>
  <si>
    <t xml:space="preserve">Banen (4 spelers per baan)</t>
  </si>
  <si>
    <t xml:space="preserve">Welkomstdrankje + hapjes</t>
  </si>
  <si>
    <t xml:space="preserve">Host / quizmaster (Lars)</t>
  </si>
  <si>
    <t xml:space="preserve">Prijzen (0 als Poort Padel ze geeft)</t>
  </si>
  <si>
    <t xml:space="preserve">Naar Poort Padel (banen + drankje + hapjes)</t>
  </si>
  <si>
    <t xml:space="preserve">Maximaal baantarief per uur bij deze prijs en doelmarge</t>
  </si>
  <si>
    <t xml:space="preserve">Break-even aantal deelnemers (banen schalen mee)</t>
  </si>
  <si>
    <t xml:space="preserve">Lars totaal (winst + hostloon)</t>
  </si>
  <si>
    <t xml:space="preserve">Poort Padel: baromzet tijdens quiz en nazit (schatting)</t>
  </si>
  <si>
    <t xml:space="preserve">Poort Padel: totaal (baanhuur + arrangement + bar)</t>
  </si>
  <si>
    <t xml:space="preserve">Poort Padel: totaal na inkoop prijzen</t>
  </si>
  <si>
    <t xml:space="preserve">Wat de korting Poort Padel kost t.o.v. het weekendtarief</t>
  </si>
  <si>
    <t xml:space="preserve">Per deelnemersaantal (prijs, tarief en arrangement volgen de invoer hierboven)</t>
  </si>
  <si>
    <t xml:space="preserve">Deelnemers</t>
  </si>
  <si>
    <t xml:space="preserve">Teams</t>
  </si>
  <si>
    <t xml:space="preserve">Drankje + hapjes</t>
  </si>
  <si>
    <t xml:space="preserve">Host</t>
  </si>
  <si>
    <t xml:space="preserve">Materialen + prijzen</t>
  </si>
  <si>
    <t xml:space="preserve">Lars totaal (winst + host)</t>
  </si>
  <si>
    <t xml:space="preserve">Poort Padel totaal incl. bar</t>
  </si>
  <si>
    <t xml:space="preserve">Benchmark: Sportclub Houten 'Pubquiz, Padel &amp; Pizza' €27,50 p.p. (1,5 uur baan excl. materiaal, pizza, quiz met drankje, teams van 4). The Padellers 'Pubquiz &amp; Padeltoernooi' €25 per koppel incl. materiaal, hoofdprijs een gratis padelsessie, shotrondes. Cafés vragen €5 tot €6,25 p.p. voor een losse pubquiz.</t>
  </si>
  <si>
    <t xml:space="preserve">Poort Padel verdient aan dit event vooral aan de bar tijdens de quiz (90 minuten, 32 tot 40 mensen aan tafel; horeca-benchmark €15 tot €25 p.p.). Daarom: prijzen door Poort Padel en het baantarief van Padel Dating.</t>
  </si>
  <si>
    <t xml:space="preserve">Onder de 24 deelnemers is de avond verliesgevend door de vaste hostkosten; verplaats dan of laat Lars alleen de quiz doen zonder betaald hostuur.</t>
  </si>
  <si>
    <t xml:space="preserve">Doel</t>
  </si>
  <si>
    <t xml:space="preserve">Prijslijst voor All Court Academy op basis van inkoop bij Poort Padel plus een winstmarge (standaard 20%).</t>
  </si>
  <si>
    <t xml:space="preserve">Blauw</t>
  </si>
  <si>
    <t xml:space="preserve">Invoercellen. Aanpassen mag.</t>
  </si>
  <si>
    <t xml:space="preserve">Geel</t>
  </si>
  <si>
    <t xml:space="preserve">Aanname die nog geverifieerd moet worden bij Poort Padel (horeca-arrangementen, rackethuur) of intern (coachtarief).</t>
  </si>
  <si>
    <t xml:space="preserve">Zwart</t>
  </si>
  <si>
    <t xml:space="preserve">Formules. Niet overschrijven.</t>
  </si>
  <si>
    <t xml:space="preserve">Groen</t>
  </si>
  <si>
    <t xml:space="preserve">Verwijzing naar een ander tabblad.</t>
  </si>
  <si>
    <t xml:space="preserve">Bron baanhuur</t>
  </si>
  <si>
    <t xml:space="preserve">Playtomic, club Poort Padel, tarieven bekeken op 6 en 9 september 2026.</t>
  </si>
  <si>
    <t xml:space="preserve">Bron horeca</t>
  </si>
  <si>
    <t xml:space="preserve">Menukaart Poort Padel (PDF, juni 2026).</t>
  </si>
  <si>
    <t xml:space="preserve">Bron zalen</t>
  </si>
  <si>
    <t xml:space="preserve">reserveren.poortpadel.nl (AQQO) – capaciteiten en prijzen uit stap 2 van de reserveringswizard, 6 sep 2026.</t>
  </si>
  <si>
    <t xml:space="preserve">Alle bedragen excl. btw. Sportbeoefening/clinics vallen doorgaans onder 9%, zaalhuur onder 21%. Check met boekhouder.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</si>
</sst>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€#,##0.00;&quot;(€&quot;#,##0.00\);\-"/>
    <numFmt numFmtId="167" formatCode="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s">
        <v>9</v>
      </c>
      <c r="C5" s="7" t="n">
        <v>0.2</v>
      </c>
      <c r="D5" s="6" t="s">
        <v>10</v>
      </c>
      <c r="E5" s="6" t="s">
        <v>11</v>
      </c>
      <c r="F5" s="8" t="s">
        <v>12</v>
      </c>
    </row>
    <row r="6" customFormat="false" ht="15" hidden="false" customHeight="false" outlineLevel="0" collapsed="false">
      <c r="A6" s="5" t="s">
        <v>13</v>
      </c>
      <c r="B6" s="6" t="s">
        <v>14</v>
      </c>
      <c r="C6" s="7" t="n">
        <v>0.21</v>
      </c>
      <c r="D6" s="6" t="s">
        <v>10</v>
      </c>
      <c r="E6" s="6" t="s">
        <v>15</v>
      </c>
      <c r="F6" s="8" t="s">
        <v>16</v>
      </c>
    </row>
    <row r="7" customFormat="false" ht="15" hidden="false" customHeight="false" outlineLevel="0" collapsed="false">
      <c r="A7" s="2"/>
      <c r="B7" s="9" t="s">
        <v>17</v>
      </c>
      <c r="C7" s="2"/>
      <c r="D7" s="2"/>
      <c r="E7" s="2"/>
      <c r="F7" s="2"/>
    </row>
    <row r="8" customFormat="false" ht="15" hidden="false" customHeight="false" outlineLevel="0" collapsed="false">
      <c r="A8" s="5" t="s">
        <v>18</v>
      </c>
      <c r="B8" s="6" t="s">
        <v>19</v>
      </c>
      <c r="C8" s="10" t="n">
        <v>30</v>
      </c>
      <c r="D8" s="6" t="s">
        <v>20</v>
      </c>
      <c r="E8" s="6" t="s">
        <v>21</v>
      </c>
      <c r="F8" s="8" t="s">
        <v>22</v>
      </c>
    </row>
    <row r="9" customFormat="false" ht="15" hidden="false" customHeight="false" outlineLevel="0" collapsed="false">
      <c r="A9" s="5" t="s">
        <v>23</v>
      </c>
      <c r="B9" s="6" t="s">
        <v>24</v>
      </c>
      <c r="C9" s="10" t="n">
        <v>44</v>
      </c>
      <c r="D9" s="6" t="s">
        <v>20</v>
      </c>
      <c r="E9" s="6" t="s">
        <v>21</v>
      </c>
      <c r="F9" s="8" t="s">
        <v>22</v>
      </c>
    </row>
    <row r="10" customFormat="false" ht="15" hidden="false" customHeight="false" outlineLevel="0" collapsed="false">
      <c r="A10" s="5" t="s">
        <v>25</v>
      </c>
      <c r="B10" s="6" t="s">
        <v>26</v>
      </c>
      <c r="C10" s="10" t="n">
        <v>37.5</v>
      </c>
      <c r="D10" s="6" t="s">
        <v>20</v>
      </c>
      <c r="E10" s="6" t="s">
        <v>21</v>
      </c>
      <c r="F10" s="8" t="s">
        <v>22</v>
      </c>
    </row>
    <row r="11" customFormat="false" ht="15" hidden="false" customHeight="false" outlineLevel="0" collapsed="false">
      <c r="A11" s="5" t="s">
        <v>27</v>
      </c>
      <c r="B11" s="6" t="s">
        <v>28</v>
      </c>
      <c r="C11" s="11" t="n">
        <v>4</v>
      </c>
      <c r="D11" s="6" t="s">
        <v>29</v>
      </c>
      <c r="E11" s="6" t="s">
        <v>11</v>
      </c>
      <c r="F11" s="8" t="s">
        <v>30</v>
      </c>
    </row>
    <row r="12" customFormat="false" ht="15" hidden="false" customHeight="false" outlineLevel="0" collapsed="false">
      <c r="A12" s="2"/>
      <c r="B12" s="9" t="s">
        <v>31</v>
      </c>
      <c r="C12" s="2"/>
      <c r="D12" s="2"/>
      <c r="E12" s="2"/>
      <c r="F12" s="2"/>
    </row>
    <row r="13" customFormat="false" ht="15" hidden="false" customHeight="false" outlineLevel="0" collapsed="false">
      <c r="A13" s="5" t="s">
        <v>32</v>
      </c>
      <c r="B13" s="6" t="s">
        <v>33</v>
      </c>
      <c r="C13" s="12" t="n">
        <v>45</v>
      </c>
      <c r="D13" s="6" t="s">
        <v>20</v>
      </c>
      <c r="E13" s="6" t="s">
        <v>34</v>
      </c>
      <c r="F13" s="8" t="s">
        <v>35</v>
      </c>
    </row>
    <row r="14" customFormat="false" ht="15" hidden="false" customHeight="false" outlineLevel="0" collapsed="false">
      <c r="A14" s="5" t="s">
        <v>36</v>
      </c>
      <c r="B14" s="6" t="s">
        <v>37</v>
      </c>
      <c r="C14" s="11" t="n">
        <v>8</v>
      </c>
      <c r="D14" s="6" t="s">
        <v>29</v>
      </c>
      <c r="E14" s="6" t="s">
        <v>11</v>
      </c>
      <c r="F14" s="8" t="s">
        <v>38</v>
      </c>
    </row>
    <row r="15" customFormat="false" ht="15" hidden="false" customHeight="false" outlineLevel="0" collapsed="false">
      <c r="A15" s="5" t="s">
        <v>39</v>
      </c>
      <c r="B15" s="6" t="s">
        <v>40</v>
      </c>
      <c r="C15" s="11" t="n">
        <v>16</v>
      </c>
      <c r="D15" s="6" t="s">
        <v>29</v>
      </c>
      <c r="E15" s="6" t="s">
        <v>11</v>
      </c>
      <c r="F15" s="8" t="s">
        <v>41</v>
      </c>
    </row>
    <row r="16" customFormat="false" ht="15" hidden="false" customHeight="false" outlineLevel="0" collapsed="false">
      <c r="A16" s="5" t="s">
        <v>42</v>
      </c>
      <c r="B16" s="6" t="s">
        <v>43</v>
      </c>
      <c r="C16" s="12" t="n">
        <v>2</v>
      </c>
      <c r="D16" s="6" t="s">
        <v>44</v>
      </c>
      <c r="E16" s="6" t="s">
        <v>34</v>
      </c>
      <c r="F16" s="8" t="s">
        <v>45</v>
      </c>
    </row>
    <row r="17" customFormat="false" ht="15" hidden="false" customHeight="false" outlineLevel="0" collapsed="false">
      <c r="A17" s="5" t="s">
        <v>46</v>
      </c>
      <c r="B17" s="6" t="s">
        <v>47</v>
      </c>
      <c r="C17" s="12" t="n">
        <v>25</v>
      </c>
      <c r="D17" s="6" t="s">
        <v>48</v>
      </c>
      <c r="E17" s="6" t="s">
        <v>34</v>
      </c>
      <c r="F17" s="8" t="s">
        <v>45</v>
      </c>
    </row>
    <row r="18" customFormat="false" ht="15" hidden="false" customHeight="false" outlineLevel="0" collapsed="false">
      <c r="A18" s="5" t="s">
        <v>49</v>
      </c>
      <c r="B18" s="6" t="s">
        <v>50</v>
      </c>
      <c r="C18" s="12" t="n">
        <v>0</v>
      </c>
      <c r="D18" s="6" t="s">
        <v>51</v>
      </c>
      <c r="E18" s="6" t="s">
        <v>34</v>
      </c>
      <c r="F18" s="8" t="s">
        <v>52</v>
      </c>
    </row>
    <row r="19" customFormat="false" ht="15" hidden="false" customHeight="false" outlineLevel="0" collapsed="false">
      <c r="A19" s="2"/>
      <c r="B19" s="9" t="s">
        <v>53</v>
      </c>
      <c r="C19" s="2"/>
      <c r="D19" s="2"/>
      <c r="E19" s="2"/>
      <c r="F19" s="2"/>
    </row>
    <row r="20" customFormat="false" ht="15" hidden="false" customHeight="false" outlineLevel="0" collapsed="false">
      <c r="A20" s="5" t="s">
        <v>54</v>
      </c>
      <c r="B20" s="6" t="s">
        <v>55</v>
      </c>
      <c r="C20" s="12" t="n">
        <v>3.75</v>
      </c>
      <c r="D20" s="6" t="s">
        <v>56</v>
      </c>
      <c r="E20" s="6" t="s">
        <v>34</v>
      </c>
      <c r="F20" s="8" t="s">
        <v>57</v>
      </c>
    </row>
    <row r="21" customFormat="false" ht="15" hidden="false" customHeight="false" outlineLevel="0" collapsed="false">
      <c r="A21" s="5" t="s">
        <v>58</v>
      </c>
      <c r="B21" s="6" t="s">
        <v>59</v>
      </c>
      <c r="C21" s="10" t="n">
        <v>0.98</v>
      </c>
      <c r="D21" s="6" t="s">
        <v>56</v>
      </c>
      <c r="E21" s="6" t="s">
        <v>21</v>
      </c>
      <c r="F21" s="8" t="s">
        <v>60</v>
      </c>
    </row>
    <row r="22" customFormat="false" ht="15" hidden="false" customHeight="false" outlineLevel="0" collapsed="false">
      <c r="A22" s="5" t="s">
        <v>61</v>
      </c>
      <c r="B22" s="6" t="s">
        <v>62</v>
      </c>
      <c r="C22" s="12" t="n">
        <v>3</v>
      </c>
      <c r="D22" s="6" t="s">
        <v>56</v>
      </c>
      <c r="E22" s="6" t="s">
        <v>34</v>
      </c>
      <c r="F22" s="8" t="s">
        <v>63</v>
      </c>
    </row>
    <row r="23" customFormat="false" ht="15" hidden="false" customHeight="false" outlineLevel="0" collapsed="false">
      <c r="A23" s="5" t="s">
        <v>64</v>
      </c>
      <c r="B23" s="6" t="s">
        <v>65</v>
      </c>
      <c r="C23" s="10" t="n">
        <v>12.5</v>
      </c>
      <c r="D23" s="6" t="s">
        <v>56</v>
      </c>
      <c r="E23" s="6" t="s">
        <v>21</v>
      </c>
      <c r="F23" s="8" t="s">
        <v>60</v>
      </c>
    </row>
    <row r="24" customFormat="false" ht="15" hidden="false" customHeight="false" outlineLevel="0" collapsed="false">
      <c r="A24" s="5" t="s">
        <v>66</v>
      </c>
      <c r="B24" s="6" t="s">
        <v>67</v>
      </c>
      <c r="C24" s="10" t="n">
        <v>18.5</v>
      </c>
      <c r="D24" s="6" t="s">
        <v>56</v>
      </c>
      <c r="E24" s="6" t="s">
        <v>21</v>
      </c>
      <c r="F24" s="8" t="s">
        <v>60</v>
      </c>
    </row>
    <row r="25" customFormat="false" ht="15" hidden="false" customHeight="false" outlineLevel="0" collapsed="false">
      <c r="A25" s="2"/>
      <c r="B25" s="9" t="s">
        <v>68</v>
      </c>
      <c r="C25" s="2"/>
      <c r="D25" s="2"/>
      <c r="E25" s="2"/>
      <c r="F25" s="2"/>
    </row>
    <row r="26" customFormat="false" ht="15" hidden="false" customHeight="false" outlineLevel="0" collapsed="false">
      <c r="A26" s="5" t="s">
        <v>69</v>
      </c>
      <c r="B26" s="6" t="s">
        <v>70</v>
      </c>
      <c r="C26" s="10" t="n">
        <v>225</v>
      </c>
      <c r="D26" s="6" t="s">
        <v>71</v>
      </c>
      <c r="E26" s="6" t="s">
        <v>21</v>
      </c>
      <c r="F26" s="8" t="s">
        <v>72</v>
      </c>
    </row>
    <row r="27" customFormat="false" ht="15" hidden="false" customHeight="false" outlineLevel="0" collapsed="false">
      <c r="A27" s="5" t="s">
        <v>73</v>
      </c>
      <c r="B27" s="6" t="s">
        <v>74</v>
      </c>
      <c r="C27" s="10" t="n">
        <v>400</v>
      </c>
      <c r="D27" s="6" t="s">
        <v>75</v>
      </c>
      <c r="E27" s="6" t="s">
        <v>21</v>
      </c>
      <c r="F27" s="8" t="s">
        <v>76</v>
      </c>
    </row>
    <row r="28" customFormat="false" ht="15" hidden="false" customHeight="false" outlineLevel="0" collapsed="false">
      <c r="A28" s="5" t="s">
        <v>77</v>
      </c>
      <c r="B28" s="6" t="s">
        <v>78</v>
      </c>
      <c r="C28" s="10" t="n">
        <v>250</v>
      </c>
      <c r="D28" s="6" t="s">
        <v>71</v>
      </c>
      <c r="E28" s="6" t="s">
        <v>21</v>
      </c>
      <c r="F28" s="8" t="s">
        <v>79</v>
      </c>
    </row>
    <row r="29" customFormat="false" ht="15" hidden="false" customHeight="false" outlineLevel="0" collapsed="false">
      <c r="A29" s="5" t="s">
        <v>80</v>
      </c>
      <c r="B29" s="6" t="s">
        <v>81</v>
      </c>
      <c r="C29" s="10" t="n">
        <v>500</v>
      </c>
      <c r="D29" s="6" t="s">
        <v>75</v>
      </c>
      <c r="E29" s="6" t="s">
        <v>21</v>
      </c>
      <c r="F29" s="8" t="s">
        <v>82</v>
      </c>
    </row>
    <row r="30" customFormat="false" ht="15" hidden="false" customHeight="false" outlineLevel="0" collapsed="false">
      <c r="A30" s="5" t="s">
        <v>83</v>
      </c>
      <c r="B30" s="6" t="s">
        <v>84</v>
      </c>
      <c r="C30" s="10" t="n">
        <v>550</v>
      </c>
      <c r="D30" s="6" t="s">
        <v>71</v>
      </c>
      <c r="E30" s="6" t="s">
        <v>21</v>
      </c>
      <c r="F30" s="8" t="s">
        <v>85</v>
      </c>
    </row>
    <row r="31" customFormat="false" ht="15" hidden="false" customHeight="false" outlineLevel="0" collapsed="false">
      <c r="A31" s="5" t="s">
        <v>86</v>
      </c>
      <c r="B31" s="6" t="s">
        <v>87</v>
      </c>
      <c r="C31" s="10" t="n">
        <v>1000</v>
      </c>
      <c r="D31" s="6" t="s">
        <v>75</v>
      </c>
      <c r="E31" s="6" t="s">
        <v>21</v>
      </c>
      <c r="F31" s="8" t="s">
        <v>88</v>
      </c>
    </row>
    <row r="32" customFormat="false" ht="15" hidden="false" customHeight="false" outlineLevel="0" collapsed="false">
      <c r="A32" s="5" t="s">
        <v>89</v>
      </c>
      <c r="B32" s="6" t="s">
        <v>90</v>
      </c>
      <c r="C32" s="10" t="n">
        <v>450</v>
      </c>
      <c r="D32" s="6" t="s">
        <v>71</v>
      </c>
      <c r="E32" s="6" t="s">
        <v>21</v>
      </c>
      <c r="F32" s="8" t="s">
        <v>91</v>
      </c>
    </row>
    <row r="33" customFormat="false" ht="15" hidden="false" customHeight="false" outlineLevel="0" collapsed="false">
      <c r="A33" s="5" t="s">
        <v>92</v>
      </c>
      <c r="B33" s="6" t="s">
        <v>93</v>
      </c>
      <c r="C33" s="10" t="n">
        <v>550</v>
      </c>
      <c r="D33" s="6" t="s">
        <v>94</v>
      </c>
      <c r="E33" s="6" t="s">
        <v>21</v>
      </c>
      <c r="F33" s="8" t="s">
        <v>95</v>
      </c>
    </row>
    <row r="34" customFormat="false" ht="15" hidden="false" customHeight="false" outlineLevel="0" collapsed="false">
      <c r="A34" s="5" t="s">
        <v>96</v>
      </c>
      <c r="B34" s="6" t="s">
        <v>97</v>
      </c>
      <c r="C34" s="10" t="n">
        <v>850</v>
      </c>
      <c r="D34" s="6" t="s">
        <v>75</v>
      </c>
      <c r="E34" s="6" t="s">
        <v>21</v>
      </c>
      <c r="F34" s="8" t="s">
        <v>98</v>
      </c>
    </row>
    <row r="35" customFormat="false" ht="15" hidden="false" customHeight="false" outlineLevel="0" collapsed="false">
      <c r="A35" s="2"/>
      <c r="B35" s="9" t="s">
        <v>99</v>
      </c>
      <c r="C35" s="2"/>
      <c r="D35" s="2"/>
      <c r="E35" s="2"/>
      <c r="F35" s="2"/>
    </row>
    <row r="36" customFormat="false" ht="15" hidden="false" customHeight="false" outlineLevel="0" collapsed="false">
      <c r="A36" s="5" t="s">
        <v>100</v>
      </c>
      <c r="B36" s="6" t="s">
        <v>101</v>
      </c>
      <c r="C36" s="11" t="n">
        <v>6</v>
      </c>
      <c r="D36" s="6" t="s">
        <v>29</v>
      </c>
      <c r="E36" s="6" t="s">
        <v>11</v>
      </c>
      <c r="F36" s="8" t="s">
        <v>102</v>
      </c>
    </row>
    <row r="37" customFormat="false" ht="15" hidden="false" customHeight="false" outlineLevel="0" collapsed="false">
      <c r="A37" s="5" t="s">
        <v>103</v>
      </c>
      <c r="B37" s="6" t="s">
        <v>104</v>
      </c>
      <c r="C37" s="10" t="n">
        <v>0.5</v>
      </c>
      <c r="D37" s="6" t="s">
        <v>56</v>
      </c>
      <c r="E37" s="6" t="s">
        <v>11</v>
      </c>
      <c r="F3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3" t="s">
        <v>107</v>
      </c>
      <c r="B4" s="13" t="s">
        <v>108</v>
      </c>
      <c r="C4" s="13" t="s">
        <v>109</v>
      </c>
      <c r="D4" s="13" t="s">
        <v>110</v>
      </c>
      <c r="E4" s="13" t="s">
        <v>111</v>
      </c>
      <c r="F4" s="13" t="s">
        <v>112</v>
      </c>
      <c r="G4" s="13" t="s">
        <v>113</v>
      </c>
      <c r="H4" s="13" t="s">
        <v>114</v>
      </c>
      <c r="I4" s="13" t="s">
        <v>115</v>
      </c>
      <c r="J4" s="13" t="s">
        <v>116</v>
      </c>
      <c r="K4" s="13" t="s">
        <v>117</v>
      </c>
    </row>
    <row r="5" customFormat="false" ht="15" hidden="false" customHeight="false" outlineLevel="0" collapsed="false">
      <c r="A5" s="6" t="s">
        <v>118</v>
      </c>
      <c r="B5" s="14" t="n">
        <v>1.5</v>
      </c>
      <c r="C5" s="14" t="n">
        <v>0</v>
      </c>
      <c r="D5" s="14" t="n">
        <v>0</v>
      </c>
      <c r="E5" s="14" t="n">
        <v>0</v>
      </c>
      <c r="F5" s="15" t="n">
        <f aca="false">B5*Inputs!$C$8/Inputs!$C$11+C5*Inputs!$C$13/Inputs!$C$14+D5*Inputs!$C$13/Inputs!$C$15+E5*Inputs!$C$17/Inputs!$C$15+Inputs!$C$16/Inputs!$C$11+Inputs!$C$18</f>
        <v>11.75</v>
      </c>
      <c r="G5" s="15" t="n">
        <f aca="false">B5*Inputs!$C$9/Inputs!$C$11+C5*Inputs!$C$13/Inputs!$C$14+D5*Inputs!$C$13/Inputs!$C$15+E5*Inputs!$C$17/Inputs!$C$15+Inputs!$C$16/Inputs!$C$11+Inputs!$C$18</f>
        <v>17</v>
      </c>
      <c r="H5" s="15" t="n">
        <f aca="false">B5*Inputs!$C$10/Inputs!$C$11+C5*Inputs!$C$13/Inputs!$C$14+D5*Inputs!$C$13/Inputs!$C$15+E5*Inputs!$C$17/Inputs!$C$15+Inputs!$C$16/Inputs!$C$11+Inputs!$C$18</f>
        <v>14.5625</v>
      </c>
      <c r="I5" s="15" t="n">
        <f aca="false">CEILING((F5)*(1+Inputs!$C$5),Inputs!$C$37)</f>
        <v>14.5</v>
      </c>
      <c r="J5" s="15" t="n">
        <f aca="false">CEILING((G5)*(1+Inputs!$C$5),Inputs!$C$37)</f>
        <v>20.5</v>
      </c>
      <c r="K5" s="15" t="n">
        <f aca="false">CEILING((H5)*(1+Inputs!$C$5),Inputs!$C$37)</f>
        <v>17.5</v>
      </c>
    </row>
    <row r="6" customFormat="false" ht="15" hidden="false" customHeight="false" outlineLevel="0" collapsed="false">
      <c r="A6" s="6" t="s">
        <v>119</v>
      </c>
      <c r="B6" s="14" t="n">
        <v>2</v>
      </c>
      <c r="C6" s="14" t="n">
        <v>1</v>
      </c>
      <c r="D6" s="14" t="n">
        <v>0</v>
      </c>
      <c r="E6" s="14" t="n">
        <v>0</v>
      </c>
      <c r="F6" s="15" t="n">
        <f aca="false">B6*Inputs!$C$8/Inputs!$C$11+C6*Inputs!$C$13/Inputs!$C$14+D6*Inputs!$C$13/Inputs!$C$15+E6*Inputs!$C$17/Inputs!$C$15+Inputs!$C$16/Inputs!$C$11+Inputs!$C$18</f>
        <v>21.125</v>
      </c>
      <c r="G6" s="15" t="n">
        <f aca="false">B6*Inputs!$C$9/Inputs!$C$11+C6*Inputs!$C$13/Inputs!$C$14+D6*Inputs!$C$13/Inputs!$C$15+E6*Inputs!$C$17/Inputs!$C$15+Inputs!$C$16/Inputs!$C$11+Inputs!$C$18</f>
        <v>28.125</v>
      </c>
      <c r="H6" s="15" t="n">
        <f aca="false">B6*Inputs!$C$10/Inputs!$C$11+C6*Inputs!$C$13/Inputs!$C$14+D6*Inputs!$C$13/Inputs!$C$15+E6*Inputs!$C$17/Inputs!$C$15+Inputs!$C$16/Inputs!$C$11+Inputs!$C$18</f>
        <v>24.875</v>
      </c>
      <c r="I6" s="15" t="n">
        <f aca="false">CEILING((F6)*(1+Inputs!$C$5),Inputs!$C$37)</f>
        <v>25.5</v>
      </c>
      <c r="J6" s="15" t="n">
        <f aca="false">CEILING((G6)*(1+Inputs!$C$5),Inputs!$C$37)</f>
        <v>34</v>
      </c>
      <c r="K6" s="15" t="n">
        <f aca="false">CEILING((H6)*(1+Inputs!$C$5),Inputs!$C$37)</f>
        <v>30</v>
      </c>
    </row>
    <row r="7" customFormat="false" ht="15" hidden="false" customHeight="false" outlineLevel="0" collapsed="false">
      <c r="A7" s="6" t="s">
        <v>120</v>
      </c>
      <c r="B7" s="14" t="n">
        <v>2</v>
      </c>
      <c r="C7" s="14" t="n">
        <v>0</v>
      </c>
      <c r="D7" s="14" t="n">
        <v>2</v>
      </c>
      <c r="E7" s="14" t="n">
        <v>1</v>
      </c>
      <c r="F7" s="15" t="n">
        <f aca="false">B7*Inputs!$C$8/Inputs!$C$11+C7*Inputs!$C$13/Inputs!$C$14+D7*Inputs!$C$13/Inputs!$C$15+E7*Inputs!$C$17/Inputs!$C$15+Inputs!$C$16/Inputs!$C$11+Inputs!$C$18</f>
        <v>22.6875</v>
      </c>
      <c r="G7" s="15" t="n">
        <f aca="false">B7*Inputs!$C$9/Inputs!$C$11+C7*Inputs!$C$13/Inputs!$C$14+D7*Inputs!$C$13/Inputs!$C$15+E7*Inputs!$C$17/Inputs!$C$15+Inputs!$C$16/Inputs!$C$11+Inputs!$C$18</f>
        <v>29.6875</v>
      </c>
      <c r="H7" s="15" t="n">
        <f aca="false">B7*Inputs!$C$10/Inputs!$C$11+C7*Inputs!$C$13/Inputs!$C$14+D7*Inputs!$C$13/Inputs!$C$15+E7*Inputs!$C$17/Inputs!$C$15+Inputs!$C$16/Inputs!$C$11+Inputs!$C$18</f>
        <v>26.4375</v>
      </c>
      <c r="I7" s="15" t="n">
        <f aca="false">CEILING((F7)*(1+Inputs!$C$5),Inputs!$C$37)</f>
        <v>27.5</v>
      </c>
      <c r="J7" s="15" t="n">
        <f aca="false">CEILING((G7)*(1+Inputs!$C$5),Inputs!$C$37)</f>
        <v>36</v>
      </c>
      <c r="K7" s="15" t="n">
        <f aca="false">CEILING((H7)*(1+Inputs!$C$5),Inputs!$C$37)</f>
        <v>32</v>
      </c>
    </row>
    <row r="8" customFormat="false" ht="15" hidden="false" customHeight="false" outlineLevel="0" collapsed="false">
      <c r="A8" s="6" t="s">
        <v>121</v>
      </c>
      <c r="B8" s="14" t="n">
        <v>3</v>
      </c>
      <c r="C8" s="14" t="n">
        <v>1</v>
      </c>
      <c r="D8" s="14" t="n">
        <v>2</v>
      </c>
      <c r="E8" s="14" t="n">
        <v>1</v>
      </c>
      <c r="F8" s="15" t="n">
        <f aca="false">B8*Inputs!$C$8/Inputs!$C$11+C8*Inputs!$C$13/Inputs!$C$14+D8*Inputs!$C$13/Inputs!$C$15+E8*Inputs!$C$17/Inputs!$C$15+Inputs!$C$16/Inputs!$C$11+Inputs!$C$18</f>
        <v>35.8125</v>
      </c>
      <c r="G8" s="15" t="n">
        <f aca="false">B8*Inputs!$C$9/Inputs!$C$11+C8*Inputs!$C$13/Inputs!$C$14+D8*Inputs!$C$13/Inputs!$C$15+E8*Inputs!$C$17/Inputs!$C$15+Inputs!$C$16/Inputs!$C$11+Inputs!$C$18</f>
        <v>46.3125</v>
      </c>
      <c r="H8" s="15" t="n">
        <f aca="false">B8*Inputs!$C$10/Inputs!$C$11+C8*Inputs!$C$13/Inputs!$C$14+D8*Inputs!$C$13/Inputs!$C$15+E8*Inputs!$C$17/Inputs!$C$15+Inputs!$C$16/Inputs!$C$11+Inputs!$C$18</f>
        <v>41.4375</v>
      </c>
      <c r="I8" s="15" t="n">
        <f aca="false">CEILING((F8)*(1+Inputs!$C$5),Inputs!$C$37)</f>
        <v>43</v>
      </c>
      <c r="J8" s="15" t="n">
        <f aca="false">CEILING((G8)*(1+Inputs!$C$5),Inputs!$C$37)</f>
        <v>56</v>
      </c>
      <c r="K8" s="15" t="n">
        <f aca="false">CEILING((H8)*(1+Inputs!$C$5),Inputs!$C$37)</f>
        <v>50</v>
      </c>
    </row>
    <row r="9" customFormat="false" ht="15" hidden="false" customHeight="false" outlineLevel="0" collapsed="false">
      <c r="A9" s="6" t="s">
        <v>122</v>
      </c>
      <c r="B9" s="14" t="n">
        <v>4</v>
      </c>
      <c r="C9" s="14" t="n">
        <v>1</v>
      </c>
      <c r="D9" s="14" t="n">
        <v>2</v>
      </c>
      <c r="E9" s="14" t="n">
        <v>1</v>
      </c>
      <c r="F9" s="15" t="n">
        <f aca="false">B9*Inputs!$C$8/Inputs!$C$11+C9*Inputs!$C$13/Inputs!$C$14+D9*Inputs!$C$13/Inputs!$C$15+E9*Inputs!$C$17/Inputs!$C$15+Inputs!$C$16/Inputs!$C$11+Inputs!$C$18</f>
        <v>43.3125</v>
      </c>
      <c r="G9" s="15" t="n">
        <f aca="false">B9*Inputs!$C$9/Inputs!$C$11+C9*Inputs!$C$13/Inputs!$C$14+D9*Inputs!$C$13/Inputs!$C$15+E9*Inputs!$C$17/Inputs!$C$15+Inputs!$C$16/Inputs!$C$11+Inputs!$C$18</f>
        <v>57.3125</v>
      </c>
      <c r="H9" s="15" t="n">
        <f aca="false">B9*Inputs!$C$10/Inputs!$C$11+C9*Inputs!$C$13/Inputs!$C$14+D9*Inputs!$C$13/Inputs!$C$15+E9*Inputs!$C$17/Inputs!$C$15+Inputs!$C$16/Inputs!$C$11+Inputs!$C$18</f>
        <v>50.8125</v>
      </c>
      <c r="I9" s="15" t="n">
        <f aca="false">CEILING((F9)*(1+Inputs!$C$5),Inputs!$C$37)</f>
        <v>52</v>
      </c>
      <c r="J9" s="15" t="n">
        <f aca="false">CEILING((G9)*(1+Inputs!$C$5),Inputs!$C$37)</f>
        <v>69</v>
      </c>
      <c r="K9" s="15" t="n">
        <f aca="false">CEILING((H9)*(1+Inputs!$C$5),Inputs!$C$37)</f>
        <v>61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9" t="s">
        <v>123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16" t="s">
        <v>124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16" t="s">
        <v>125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16" t="s">
        <v>126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16" t="s">
        <v>127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16" t="s">
        <v>128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129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130</v>
      </c>
      <c r="B3" s="4" t="s">
        <v>131</v>
      </c>
      <c r="C3" s="4" t="s">
        <v>132</v>
      </c>
      <c r="D3" s="4" t="s">
        <v>133</v>
      </c>
      <c r="E3" s="4" t="s">
        <v>5</v>
      </c>
    </row>
    <row r="4" customFormat="false" ht="15" hidden="false" customHeight="false" outlineLevel="0" collapsed="false">
      <c r="A4" s="6" t="s">
        <v>134</v>
      </c>
      <c r="B4" s="6" t="s">
        <v>135</v>
      </c>
      <c r="C4" s="17" t="n">
        <f aca="false">2*Inputs!$C$22</f>
        <v>6</v>
      </c>
      <c r="D4" s="17" t="n">
        <f aca="false">CEILING((C4)*(1+Inputs!$C$5),Inputs!$C$37)</f>
        <v>7.5</v>
      </c>
      <c r="E4" s="6" t="s">
        <v>136</v>
      </c>
    </row>
    <row r="5" customFormat="false" ht="15" hidden="false" customHeight="false" outlineLevel="0" collapsed="false">
      <c r="A5" s="6" t="s">
        <v>137</v>
      </c>
      <c r="B5" s="6" t="s">
        <v>138</v>
      </c>
      <c r="C5" s="17" t="n">
        <f aca="false">2*Inputs!$C$20+4*Inputs!$C$21</f>
        <v>11.42</v>
      </c>
      <c r="D5" s="17" t="n">
        <f aca="false">CEILING((C5)*(1+Inputs!$C$5),Inputs!$C$37)</f>
        <v>14</v>
      </c>
      <c r="E5" s="6" t="s">
        <v>136</v>
      </c>
    </row>
    <row r="6" customFormat="false" ht="15" hidden="false" customHeight="false" outlineLevel="0" collapsed="false">
      <c r="A6" s="6" t="s">
        <v>139</v>
      </c>
      <c r="B6" s="6" t="s">
        <v>140</v>
      </c>
      <c r="C6" s="17" t="n">
        <f aca="false">3*Inputs!$C$20+6*Inputs!$C$21</f>
        <v>17.13</v>
      </c>
      <c r="D6" s="17" t="n">
        <f aca="false">CEILING((C6)*(1+Inputs!$C$5),Inputs!$C$37)</f>
        <v>21</v>
      </c>
      <c r="E6" s="6" t="s">
        <v>136</v>
      </c>
    </row>
    <row r="7" customFormat="false" ht="15" hidden="false" customHeight="false" outlineLevel="0" collapsed="false">
      <c r="A7" s="6" t="s">
        <v>141</v>
      </c>
      <c r="B7" s="6" t="s">
        <v>142</v>
      </c>
      <c r="C7" s="17" t="n">
        <f aca="false">Inputs!$C$23+Inputs!$C$20+Inputs!$C$22</f>
        <v>19.25</v>
      </c>
      <c r="D7" s="17" t="n">
        <f aca="false">CEILING((C7)*(1+Inputs!$C$5),Inputs!$C$37)</f>
        <v>23.5</v>
      </c>
      <c r="E7" s="6" t="s">
        <v>136</v>
      </c>
    </row>
    <row r="8" customFormat="false" ht="15" hidden="false" customHeight="false" outlineLevel="0" collapsed="false">
      <c r="A8" s="6" t="s">
        <v>143</v>
      </c>
      <c r="B8" s="6" t="s">
        <v>144</v>
      </c>
      <c r="C8" s="17" t="n">
        <f aca="false">Inputs!$C$24+2*Inputs!$C$20</f>
        <v>26</v>
      </c>
      <c r="D8" s="17" t="n">
        <f aca="false">CEILING((C8)*(1+Inputs!$C$5),Inputs!$C$37)</f>
        <v>31.5</v>
      </c>
      <c r="E8" s="6" t="s">
        <v>136</v>
      </c>
    </row>
    <row r="9" customFormat="false" ht="15" hidden="false" customHeight="false" outlineLevel="0" collapsed="false">
      <c r="A9" s="6" t="s">
        <v>145</v>
      </c>
      <c r="B9" s="6" t="s">
        <v>146</v>
      </c>
      <c r="C9" s="17" t="n">
        <f aca="false">Inputs!$C$26</f>
        <v>225</v>
      </c>
      <c r="D9" s="17" t="n">
        <f aca="false">CEILING((C9)*(1+Inputs!$C$5),Inputs!$C$37)</f>
        <v>270</v>
      </c>
      <c r="E9" s="6" t="s">
        <v>147</v>
      </c>
    </row>
    <row r="10" customFormat="false" ht="15" hidden="false" customHeight="false" outlineLevel="0" collapsed="false">
      <c r="A10" s="6" t="s">
        <v>145</v>
      </c>
      <c r="B10" s="6" t="s">
        <v>148</v>
      </c>
      <c r="C10" s="17" t="n">
        <f aca="false">Inputs!$C$27</f>
        <v>400</v>
      </c>
      <c r="D10" s="17" t="n">
        <f aca="false">CEILING((C10)*(1+Inputs!$C$5),Inputs!$C$37)</f>
        <v>480</v>
      </c>
      <c r="E10" s="6" t="s">
        <v>147</v>
      </c>
    </row>
    <row r="11" customFormat="false" ht="15" hidden="false" customHeight="false" outlineLevel="0" collapsed="false">
      <c r="A11" s="6" t="s">
        <v>149</v>
      </c>
      <c r="B11" s="6" t="s">
        <v>146</v>
      </c>
      <c r="C11" s="17" t="n">
        <f aca="false">Inputs!$C$28</f>
        <v>250</v>
      </c>
      <c r="D11" s="17" t="n">
        <f aca="false">CEILING((C11)*(1+Inputs!$C$5),Inputs!$C$37)</f>
        <v>300</v>
      </c>
      <c r="E11" s="6" t="s">
        <v>150</v>
      </c>
    </row>
    <row r="12" customFormat="false" ht="15" hidden="false" customHeight="false" outlineLevel="0" collapsed="false">
      <c r="A12" s="6" t="s">
        <v>149</v>
      </c>
      <c r="B12" s="6" t="s">
        <v>148</v>
      </c>
      <c r="C12" s="17" t="n">
        <f aca="false">Inputs!$C$29</f>
        <v>500</v>
      </c>
      <c r="D12" s="17" t="n">
        <f aca="false">CEILING((C12)*(1+Inputs!$C$5),Inputs!$C$37)</f>
        <v>600</v>
      </c>
      <c r="E12" s="6" t="s">
        <v>150</v>
      </c>
    </row>
    <row r="13" customFormat="false" ht="15" hidden="false" customHeight="false" outlineLevel="0" collapsed="false">
      <c r="A13" s="6" t="s">
        <v>151</v>
      </c>
      <c r="B13" s="6" t="s">
        <v>146</v>
      </c>
      <c r="C13" s="17" t="n">
        <f aca="false">Inputs!$C$30</f>
        <v>550</v>
      </c>
      <c r="D13" s="17" t="n">
        <f aca="false">CEILING((C13)*(1+Inputs!$C$5),Inputs!$C$37)</f>
        <v>660</v>
      </c>
      <c r="E13" s="6" t="s">
        <v>147</v>
      </c>
    </row>
    <row r="14" customFormat="false" ht="15" hidden="false" customHeight="false" outlineLevel="0" collapsed="false">
      <c r="A14" s="6" t="s">
        <v>151</v>
      </c>
      <c r="B14" s="6" t="s">
        <v>148</v>
      </c>
      <c r="C14" s="17" t="n">
        <f aca="false">Inputs!$C$31</f>
        <v>1000</v>
      </c>
      <c r="D14" s="17" t="n">
        <f aca="false">CEILING((C14)*(1+Inputs!$C$5),Inputs!$C$37)</f>
        <v>1200</v>
      </c>
      <c r="E14" s="6" t="s">
        <v>147</v>
      </c>
    </row>
    <row r="15" customFormat="false" ht="15" hidden="false" customHeight="false" outlineLevel="0" collapsed="false">
      <c r="A15" s="6" t="s">
        <v>152</v>
      </c>
      <c r="B15" s="6" t="s">
        <v>153</v>
      </c>
      <c r="C15" s="17" t="n">
        <f aca="false">Inputs!$C$32</f>
        <v>450</v>
      </c>
      <c r="D15" s="17" t="n">
        <f aca="false">CEILING((C15)*(1+Inputs!$C$5),Inputs!$C$37)</f>
        <v>540</v>
      </c>
      <c r="E15" s="6" t="s">
        <v>147</v>
      </c>
    </row>
    <row r="16" customFormat="false" ht="15" hidden="false" customHeight="false" outlineLevel="0" collapsed="false">
      <c r="A16" s="6" t="s">
        <v>152</v>
      </c>
      <c r="B16" s="6" t="s">
        <v>154</v>
      </c>
      <c r="C16" s="17" t="n">
        <f aca="false">Inputs!$C$33</f>
        <v>550</v>
      </c>
      <c r="D16" s="17" t="n">
        <f aca="false">CEILING((C16)*(1+Inputs!$C$5),Inputs!$C$37)</f>
        <v>660</v>
      </c>
      <c r="E16" s="6" t="s">
        <v>147</v>
      </c>
    </row>
    <row r="17" customFormat="false" ht="15" hidden="false" customHeight="false" outlineLevel="0" collapsed="false">
      <c r="A17" s="6" t="s">
        <v>152</v>
      </c>
      <c r="B17" s="6" t="s">
        <v>148</v>
      </c>
      <c r="C17" s="17" t="n">
        <f aca="false">Inputs!$C$34</f>
        <v>850</v>
      </c>
      <c r="D17" s="17" t="n">
        <f aca="false">CEILING((C17)*(1+Inputs!$C$5),Inputs!$C$37)</f>
        <v>1020</v>
      </c>
      <c r="E17" s="6" t="s">
        <v>147</v>
      </c>
    </row>
    <row r="18" customFormat="false" ht="15" hidden="false" customHeight="false" outlineLevel="0" collapsed="false">
      <c r="A18" s="6" t="s">
        <v>155</v>
      </c>
      <c r="B18" s="6" t="s">
        <v>156</v>
      </c>
      <c r="C18" s="17" t="n">
        <f aca="false">Inputs!$C$13</f>
        <v>45</v>
      </c>
      <c r="D18" s="17" t="n">
        <f aca="false">CEILING((C18)*(1+Inputs!$C$5),Inputs!$C$37)</f>
        <v>54</v>
      </c>
      <c r="E18" s="6" t="s">
        <v>157</v>
      </c>
    </row>
    <row r="19" customFormat="false" ht="15" hidden="false" customHeight="false" outlineLevel="0" collapsed="false">
      <c r="A19" s="6" t="s">
        <v>158</v>
      </c>
      <c r="B19" s="6" t="s">
        <v>159</v>
      </c>
      <c r="C19" s="17" t="n">
        <f aca="false">Inputs!$C$8</f>
        <v>30</v>
      </c>
      <c r="D19" s="17" t="n">
        <f aca="false">CEILING((C19)*(1+Inputs!$C$5),Inputs!$C$37)</f>
        <v>36</v>
      </c>
      <c r="E19" s="6" t="s">
        <v>160</v>
      </c>
    </row>
    <row r="20" customFormat="false" ht="15" hidden="false" customHeight="false" outlineLevel="0" collapsed="false">
      <c r="A20" s="6" t="s">
        <v>161</v>
      </c>
      <c r="B20" s="6" t="s">
        <v>159</v>
      </c>
      <c r="C20" s="17" t="n">
        <f aca="false">Inputs!$C$9</f>
        <v>44</v>
      </c>
      <c r="D20" s="17" t="n">
        <f aca="false">CEILING((C20)*(1+Inputs!$C$5),Inputs!$C$37)</f>
        <v>53</v>
      </c>
      <c r="E20" s="6" t="s">
        <v>160</v>
      </c>
    </row>
    <row r="21" customFormat="false" ht="15" hidden="false" customHeight="false" outlineLevel="0" collapsed="false">
      <c r="A21" s="6" t="s">
        <v>162</v>
      </c>
      <c r="B21" s="6" t="s">
        <v>159</v>
      </c>
      <c r="C21" s="17" t="n">
        <f aca="false">Inputs!$C$10</f>
        <v>37.5</v>
      </c>
      <c r="D21" s="17" t="n">
        <f aca="false">CEILING((C21)*(1+Inputs!$C$5),Inputs!$C$37)</f>
        <v>45</v>
      </c>
      <c r="E21" s="6" t="s">
        <v>160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16" t="s">
        <v>163</v>
      </c>
      <c r="B23" s="2"/>
      <c r="C23" s="2"/>
      <c r="D23" s="2"/>
      <c r="E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1" t="s">
        <v>164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165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0" hidden="false" customHeight="true" outlineLevel="0" collapsed="false">
      <c r="A4" s="13" t="s">
        <v>166</v>
      </c>
      <c r="B4" s="13" t="s">
        <v>167</v>
      </c>
      <c r="C4" s="13" t="s">
        <v>168</v>
      </c>
      <c r="D4" s="13" t="s">
        <v>169</v>
      </c>
      <c r="E4" s="13" t="s">
        <v>170</v>
      </c>
      <c r="F4" s="13" t="s">
        <v>171</v>
      </c>
      <c r="G4" s="13" t="s">
        <v>172</v>
      </c>
      <c r="H4" s="13" t="s">
        <v>173</v>
      </c>
      <c r="I4" s="13" t="s">
        <v>174</v>
      </c>
    </row>
    <row r="5" customFormat="false" ht="15" hidden="false" customHeight="false" outlineLevel="0" collapsed="false">
      <c r="A5" s="6" t="s">
        <v>175</v>
      </c>
      <c r="B5" s="14" t="n">
        <v>30</v>
      </c>
      <c r="C5" s="18" t="n">
        <f aca="false">CEILING(B5/Inputs!$C$36,1)</f>
        <v>5</v>
      </c>
      <c r="D5" s="14" t="n">
        <v>1</v>
      </c>
      <c r="E5" s="14" t="n">
        <v>2</v>
      </c>
      <c r="F5" s="17" t="n">
        <f aca="false">C5*D5*Inputs!$C$8+E5*D5*Inputs!$C$13+C5*Inputs!$C$16</f>
        <v>250</v>
      </c>
      <c r="G5" s="17" t="n">
        <f aca="false">F5/B5</f>
        <v>8.33333333333333</v>
      </c>
      <c r="H5" s="17" t="n">
        <f aca="false">CEILING((G5)*(1+Inputs!$C$5),Inputs!$C$37)</f>
        <v>10</v>
      </c>
      <c r="I5" s="17" t="n">
        <f aca="false">H5*B5</f>
        <v>300</v>
      </c>
    </row>
    <row r="6" customFormat="false" ht="15" hidden="false" customHeight="false" outlineLevel="0" collapsed="false">
      <c r="A6" s="6" t="s">
        <v>176</v>
      </c>
      <c r="B6" s="14" t="n">
        <v>30</v>
      </c>
      <c r="C6" s="18" t="n">
        <f aca="false">CEILING(B6/Inputs!$C$36,1)</f>
        <v>5</v>
      </c>
      <c r="D6" s="14" t="n">
        <v>1.5</v>
      </c>
      <c r="E6" s="14" t="n">
        <v>2</v>
      </c>
      <c r="F6" s="17" t="n">
        <f aca="false">C6*D6*Inputs!$C$8+E6*D6*Inputs!$C$13+C6*Inputs!$C$16</f>
        <v>370</v>
      </c>
      <c r="G6" s="17" t="n">
        <f aca="false">F6/B6</f>
        <v>12.3333333333333</v>
      </c>
      <c r="H6" s="17" t="n">
        <f aca="false">CEILING((G6)*(1+Inputs!$C$5),Inputs!$C$37)</f>
        <v>15</v>
      </c>
      <c r="I6" s="17" t="n">
        <f aca="false">H6*B6</f>
        <v>450</v>
      </c>
    </row>
    <row r="7" customFormat="false" ht="15" hidden="false" customHeight="false" outlineLevel="0" collapsed="false">
      <c r="A7" s="6" t="s">
        <v>177</v>
      </c>
      <c r="B7" s="14" t="n">
        <v>60</v>
      </c>
      <c r="C7" s="18" t="n">
        <f aca="false">CEILING(B7/2/Inputs!$C$36,1)</f>
        <v>5</v>
      </c>
      <c r="D7" s="14" t="n">
        <v>3</v>
      </c>
      <c r="E7" s="14" t="n">
        <v>3</v>
      </c>
      <c r="F7" s="17" t="n">
        <f aca="false">C7*D7*Inputs!$C$8+E7*D7*Inputs!$C$13+C7*Inputs!$C$16</f>
        <v>865</v>
      </c>
      <c r="G7" s="17" t="n">
        <f aca="false">F7/B7</f>
        <v>14.4166666666667</v>
      </c>
      <c r="H7" s="17" t="n">
        <f aca="false">CEILING((G7)*(1+Inputs!$C$5),Inputs!$C$37)</f>
        <v>17.5</v>
      </c>
      <c r="I7" s="17" t="n">
        <f aca="false">H7*B7</f>
        <v>1050</v>
      </c>
    </row>
    <row r="8" customFormat="false" ht="15" hidden="false" customHeight="false" outlineLevel="0" collapsed="false">
      <c r="A8" s="6" t="s">
        <v>178</v>
      </c>
      <c r="B8" s="14" t="n">
        <v>8</v>
      </c>
      <c r="C8" s="18" t="n">
        <f aca="false">CEILING(B8/Inputs!$C$36,1)</f>
        <v>2</v>
      </c>
      <c r="D8" s="14" t="n">
        <v>1</v>
      </c>
      <c r="E8" s="14" t="n">
        <v>1</v>
      </c>
      <c r="F8" s="17" t="n">
        <f aca="false">C8*D8*Inputs!$C$8+E8*D8*Inputs!$C$13+C8*Inputs!$C$16</f>
        <v>109</v>
      </c>
      <c r="G8" s="17" t="n">
        <f aca="false">F8/B8</f>
        <v>13.625</v>
      </c>
      <c r="H8" s="17" t="n">
        <f aca="false">CEILING((G8)*(1+Inputs!$C$5),Inputs!$C$37)</f>
        <v>16.5</v>
      </c>
      <c r="I8" s="17" t="n">
        <f aca="false">H8*B8</f>
        <v>132</v>
      </c>
    </row>
    <row r="9" customFormat="false" ht="15" hidden="false" customHeight="false" outlineLevel="0" collapsed="false">
      <c r="A9" s="6" t="s">
        <v>179</v>
      </c>
      <c r="B9" s="14" t="n">
        <v>16</v>
      </c>
      <c r="C9" s="18" t="n">
        <f aca="false">CEILING(B9/Inputs!$C$11,1)</f>
        <v>4</v>
      </c>
      <c r="D9" s="14" t="n">
        <v>2</v>
      </c>
      <c r="E9" s="14" t="n">
        <v>2</v>
      </c>
      <c r="F9" s="17" t="n">
        <f aca="false">C9*D9*Inputs!$C$8+E9*D9*Inputs!$C$13+C9*Inputs!$C$16</f>
        <v>428</v>
      </c>
      <c r="G9" s="17" t="n">
        <f aca="false">F9/B9</f>
        <v>26.75</v>
      </c>
      <c r="H9" s="17" t="n">
        <f aca="false">CEILING((G9)*(1+Inputs!$C$5),Inputs!$C$37)</f>
        <v>32.5</v>
      </c>
      <c r="I9" s="17" t="n">
        <f aca="false">H9*B9</f>
        <v>520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16" t="s">
        <v>180</v>
      </c>
      <c r="B11" s="2"/>
      <c r="C11" s="2"/>
      <c r="D11" s="2"/>
      <c r="E11" s="2"/>
      <c r="F11" s="2"/>
      <c r="G11" s="2"/>
      <c r="H11" s="2"/>
      <c r="I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52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181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19" t="s">
        <v>182</v>
      </c>
      <c r="B3" s="20" t="n">
        <v>24</v>
      </c>
      <c r="C3" s="19" t="s">
        <v>29</v>
      </c>
    </row>
    <row r="4" customFormat="false" ht="15" hidden="false" customHeight="false" outlineLevel="0" collapsed="false">
      <c r="A4" s="19" t="s">
        <v>183</v>
      </c>
      <c r="B4" s="20" t="n">
        <v>2</v>
      </c>
      <c r="C4" s="19" t="s">
        <v>184</v>
      </c>
    </row>
    <row r="5" customFormat="false" ht="15" hidden="false" customHeight="false" outlineLevel="0" collapsed="false">
      <c r="A5" s="19" t="s">
        <v>185</v>
      </c>
      <c r="B5" s="20" t="n">
        <v>2</v>
      </c>
      <c r="C5" s="19" t="s">
        <v>184</v>
      </c>
    </row>
    <row r="6" customFormat="false" ht="15" hidden="false" customHeight="false" outlineLevel="0" collapsed="false">
      <c r="A6" s="19" t="s">
        <v>186</v>
      </c>
      <c r="B6" s="20" t="n">
        <v>1</v>
      </c>
      <c r="C6" s="19" t="s">
        <v>187</v>
      </c>
    </row>
    <row r="7" customFormat="false" ht="15" hidden="false" customHeight="false" outlineLevel="0" collapsed="false">
      <c r="A7" s="19" t="s">
        <v>188</v>
      </c>
      <c r="B7" s="20" t="n">
        <v>0</v>
      </c>
      <c r="C7" s="19" t="s">
        <v>187</v>
      </c>
    </row>
    <row r="8" customFormat="false" ht="15" hidden="false" customHeight="false" outlineLevel="0" collapsed="false">
      <c r="A8" s="19" t="s">
        <v>189</v>
      </c>
      <c r="B8" s="20" t="n">
        <v>0</v>
      </c>
      <c r="C8" s="19" t="s">
        <v>187</v>
      </c>
    </row>
    <row r="9" customFormat="false" ht="15" hidden="false" customHeight="false" outlineLevel="0" collapsed="false">
      <c r="A9" s="19" t="s">
        <v>190</v>
      </c>
      <c r="B9" s="20" t="n">
        <v>0</v>
      </c>
      <c r="C9" s="19" t="s">
        <v>191</v>
      </c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9" t="s">
        <v>192</v>
      </c>
      <c r="B11" s="2"/>
      <c r="C11" s="2"/>
    </row>
    <row r="12" customFormat="false" ht="15" hidden="false" customHeight="false" outlineLevel="0" collapsed="false">
      <c r="A12" s="19" t="s">
        <v>193</v>
      </c>
      <c r="B12" s="21" t="str">
        <f aca="false">INDEX(Arrangementen!$A$5:$A$9,B4)</f>
        <v>B. Clinic + vrij spel (2 uur)</v>
      </c>
      <c r="C12" s="2"/>
    </row>
    <row r="13" customFormat="false" ht="15" hidden="false" customHeight="false" outlineLevel="0" collapsed="false">
      <c r="A13" s="19" t="s">
        <v>194</v>
      </c>
      <c r="B13" s="22" t="n">
        <f aca="false">INDEX(Arrangementen!$I$5:$K$9,B4,B5)</f>
        <v>34</v>
      </c>
      <c r="C13" s="2"/>
    </row>
    <row r="14" customFormat="false" ht="15" hidden="false" customHeight="false" outlineLevel="0" collapsed="false">
      <c r="A14" s="19" t="s">
        <v>195</v>
      </c>
      <c r="B14" s="23" t="n">
        <f aca="false">B13*B3</f>
        <v>816</v>
      </c>
      <c r="C14" s="2"/>
    </row>
    <row r="15" customFormat="false" ht="15" hidden="false" customHeight="false" outlineLevel="0" collapsed="false">
      <c r="A15" s="19" t="s">
        <v>196</v>
      </c>
      <c r="B15" s="22" t="n">
        <f aca="false">B6*'Add-ons'!$D$5</f>
        <v>14</v>
      </c>
      <c r="C15" s="2"/>
    </row>
    <row r="16" customFormat="false" ht="15" hidden="false" customHeight="false" outlineLevel="0" collapsed="false">
      <c r="A16" s="19" t="s">
        <v>197</v>
      </c>
      <c r="B16" s="22" t="n">
        <f aca="false">B7*'Add-ons'!$D$7</f>
        <v>0</v>
      </c>
      <c r="C16" s="2"/>
    </row>
    <row r="17" customFormat="false" ht="15" hidden="false" customHeight="false" outlineLevel="0" collapsed="false">
      <c r="A17" s="19" t="s">
        <v>198</v>
      </c>
      <c r="B17" s="22" t="n">
        <f aca="false">B8*'Add-ons'!$D$8</f>
        <v>0</v>
      </c>
      <c r="C17" s="2"/>
    </row>
    <row r="18" customFormat="false" ht="15" hidden="false" customHeight="false" outlineLevel="0" collapsed="false">
      <c r="A18" s="19" t="s">
        <v>199</v>
      </c>
      <c r="B18" s="23" t="n">
        <f aca="false">(B15+B16+B17)*B3</f>
        <v>336</v>
      </c>
      <c r="C18" s="2"/>
    </row>
    <row r="19" customFormat="false" ht="15" hidden="false" customHeight="false" outlineLevel="0" collapsed="false">
      <c r="A19" s="19" t="s">
        <v>200</v>
      </c>
      <c r="B19" s="22" t="n">
        <f aca="false">B9*'Add-ons'!$D$9</f>
        <v>0</v>
      </c>
      <c r="C19" s="2"/>
    </row>
    <row r="20" customFormat="false" ht="15" hidden="false" customHeight="false" outlineLevel="0" collapsed="false">
      <c r="A20" s="9" t="s">
        <v>201</v>
      </c>
      <c r="B20" s="23" t="n">
        <f aca="false">B14+B18+B19</f>
        <v>1152</v>
      </c>
      <c r="C20" s="2"/>
    </row>
    <row r="21" customFormat="false" ht="15" hidden="false" customHeight="false" outlineLevel="0" collapsed="false">
      <c r="A21" s="19" t="s">
        <v>202</v>
      </c>
      <c r="B21" s="23" t="n">
        <f aca="false">IF(B3&gt;0,B20/B3,0)</f>
        <v>48</v>
      </c>
      <c r="C21" s="2"/>
    </row>
    <row r="22" customFormat="false" ht="15" hidden="false" customHeight="false" outlineLevel="0" collapsed="false">
      <c r="A22" s="19" t="s">
        <v>203</v>
      </c>
      <c r="B22" s="22" t="n">
        <f aca="false">B20-B20/(1+Inputs!$C$5)</f>
        <v>192</v>
      </c>
      <c r="C22" s="2"/>
    </row>
    <row r="23" customFormat="false" ht="15" hidden="false" customHeight="false" outlineLevel="0" collapsed="false">
      <c r="A23" s="19" t="s">
        <v>204</v>
      </c>
      <c r="B23" s="19" t="str">
        <f aca="false">IF(B3&gt;=16,"OK","LET OP: Poort Padel vraagt minimaal 16 personen")</f>
        <v>OK</v>
      </c>
      <c r="C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14" min="5" style="0" width="13"/>
  </cols>
  <sheetData>
    <row r="1" customFormat="false" ht="17.35" hidden="false" customHeight="false" outlineLevel="0" collapsed="false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19" t="s">
        <v>207</v>
      </c>
      <c r="B4" s="24" t="n">
        <v>24</v>
      </c>
      <c r="C4" s="19" t="s">
        <v>29</v>
      </c>
      <c r="D4" s="25" t="s">
        <v>208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19" t="s">
        <v>209</v>
      </c>
      <c r="B5" s="26" t="n">
        <v>49.5</v>
      </c>
      <c r="C5" s="19" t="s">
        <v>56</v>
      </c>
      <c r="D5" s="25" t="s">
        <v>210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19" t="s">
        <v>211</v>
      </c>
      <c r="B6" s="27" t="n">
        <f aca="false">Inputs!$C$6</f>
        <v>0.21</v>
      </c>
      <c r="C6" s="19" t="s">
        <v>10</v>
      </c>
      <c r="D6" s="25" t="s">
        <v>212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19" t="s">
        <v>213</v>
      </c>
      <c r="B7" s="24" t="n">
        <v>6</v>
      </c>
      <c r="C7" s="19" t="s">
        <v>214</v>
      </c>
      <c r="D7" s="25" t="s">
        <v>215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19" t="s">
        <v>216</v>
      </c>
      <c r="B8" s="24" t="n">
        <v>2</v>
      </c>
      <c r="C8" s="19" t="s">
        <v>217</v>
      </c>
      <c r="D8" s="25" t="s">
        <v>218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19" t="s">
        <v>219</v>
      </c>
      <c r="B9" s="28" t="n">
        <v>22.5</v>
      </c>
      <c r="C9" s="19" t="s">
        <v>20</v>
      </c>
      <c r="D9" s="25" t="s">
        <v>220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19" t="s">
        <v>221</v>
      </c>
      <c r="B10" s="24" t="n">
        <v>1</v>
      </c>
      <c r="C10" s="19" t="s">
        <v>29</v>
      </c>
      <c r="D10" s="25" t="s">
        <v>222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19" t="s">
        <v>223</v>
      </c>
      <c r="B11" s="24" t="n">
        <v>3.5</v>
      </c>
      <c r="C11" s="19" t="s">
        <v>217</v>
      </c>
      <c r="D11" s="25" t="s">
        <v>224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19" t="s">
        <v>225</v>
      </c>
      <c r="B12" s="29" t="n">
        <f aca="false">Inputs!$C$13</f>
        <v>45</v>
      </c>
      <c r="C12" s="19" t="s">
        <v>20</v>
      </c>
      <c r="D12" s="25" t="s">
        <v>226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19" t="s">
        <v>227</v>
      </c>
      <c r="B13" s="24" t="n">
        <v>1</v>
      </c>
      <c r="C13" s="19" t="s">
        <v>228</v>
      </c>
      <c r="D13" s="25" t="s">
        <v>229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19" t="s">
        <v>230</v>
      </c>
      <c r="B14" s="28" t="n">
        <v>4.08</v>
      </c>
      <c r="C14" s="19" t="s">
        <v>56</v>
      </c>
      <c r="D14" s="25" t="s">
        <v>231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19" t="s">
        <v>232</v>
      </c>
      <c r="B15" s="24" t="n">
        <v>4</v>
      </c>
      <c r="C15" s="19" t="s">
        <v>228</v>
      </c>
      <c r="D15" s="25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19" t="s">
        <v>233</v>
      </c>
      <c r="B16" s="22" t="n">
        <f aca="false">Inputs!$C$21</f>
        <v>0.98</v>
      </c>
      <c r="C16" s="19" t="s">
        <v>56</v>
      </c>
      <c r="D16" s="25" t="s">
        <v>234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19" t="s">
        <v>235</v>
      </c>
      <c r="B17" s="26" t="n">
        <v>31</v>
      </c>
      <c r="C17" s="19" t="s">
        <v>56</v>
      </c>
      <c r="D17" s="25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19" t="s">
        <v>236</v>
      </c>
      <c r="B18" s="24" t="n">
        <v>2</v>
      </c>
      <c r="C18" s="19" t="s">
        <v>29</v>
      </c>
      <c r="D18" s="25" t="s">
        <v>237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19" t="s">
        <v>238</v>
      </c>
      <c r="B19" s="26" t="n">
        <v>50</v>
      </c>
      <c r="C19" s="19" t="s">
        <v>56</v>
      </c>
      <c r="D19" s="25" t="s">
        <v>239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19" t="s">
        <v>240</v>
      </c>
      <c r="B20" s="20" t="n">
        <v>1</v>
      </c>
      <c r="C20" s="19" t="s">
        <v>187</v>
      </c>
      <c r="D20" s="25" t="s">
        <v>241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19" t="s">
        <v>242</v>
      </c>
      <c r="B21" s="24" t="n">
        <v>0</v>
      </c>
      <c r="C21" s="19" t="s">
        <v>243</v>
      </c>
      <c r="D21" s="25" t="s">
        <v>244</v>
      </c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19" t="s">
        <v>245</v>
      </c>
      <c r="B22" s="20" t="n">
        <v>1</v>
      </c>
      <c r="C22" s="19" t="s">
        <v>187</v>
      </c>
      <c r="D22" s="25" t="s">
        <v>246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19" t="s">
        <v>247</v>
      </c>
      <c r="B23" s="30" t="n">
        <v>0.3</v>
      </c>
      <c r="C23" s="19" t="s">
        <v>10</v>
      </c>
      <c r="D23" s="25" t="s">
        <v>248</v>
      </c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9" t="s">
        <v>249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19" t="s">
        <v>250</v>
      </c>
      <c r="B26" s="31" t="n">
        <f aca="false">$B$4*$B$5</f>
        <v>1188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19" t="s">
        <v>251</v>
      </c>
      <c r="B27" s="31" t="n">
        <f aca="false">$B$4*$B$5/(1+$B$6)</f>
        <v>981.818181818182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19" t="s">
        <v>252</v>
      </c>
      <c r="B28" s="31" t="n">
        <f aca="false">$B$7*$B$8*$B$9</f>
        <v>270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19" t="s">
        <v>253</v>
      </c>
      <c r="B29" s="31" t="n">
        <f aca="false">$B$10*$B$11*$B$12</f>
        <v>157.5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19" t="s">
        <v>254</v>
      </c>
      <c r="B30" s="31" t="n">
        <f aca="false">$B$4*$B$13*$B$14</f>
        <v>97.92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19" t="s">
        <v>255</v>
      </c>
      <c r="B31" s="31" t="n">
        <f aca="false">$B$4*$B$15*$B$16</f>
        <v>94.08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19" t="s">
        <v>256</v>
      </c>
      <c r="B32" s="31" t="n">
        <f aca="false">$B$17</f>
        <v>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19" t="s">
        <v>257</v>
      </c>
      <c r="B33" s="31" t="n">
        <f aca="false">IF($B$20=1,0,$B$18*$B$19)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19" t="s">
        <v>258</v>
      </c>
      <c r="B34" s="31" t="n">
        <f aca="false">IF($B$22=1,0,$B$21*$B$9)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9" t="s">
        <v>259</v>
      </c>
      <c r="B35" s="32" t="n">
        <f aca="false">SUM(B28:B34)</f>
        <v>650.5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19" t="s">
        <v>260</v>
      </c>
      <c r="B36" s="31" t="n">
        <f aca="false">$B$35/$B$4</f>
        <v>27.1041666666667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9" t="s">
        <v>261</v>
      </c>
      <c r="B37" s="32" t="n">
        <f aca="false">$B$27-$B$35</f>
        <v>331.318181818182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9" t="s">
        <v>262</v>
      </c>
      <c r="B38" s="33" t="n">
        <f aca="false">$B$37/$B$27</f>
        <v>0.337453703703704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9" t="s">
        <v>263</v>
      </c>
      <c r="B39" s="32" t="n">
        <f aca="false">$B$28+$B$30+$B$31+$B$34</f>
        <v>462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19" t="s">
        <v>264</v>
      </c>
      <c r="B40" s="31" t="n">
        <f aca="false">$B$39/$B$4</f>
        <v>19.25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19" t="s">
        <v>265</v>
      </c>
      <c r="B41" s="34" t="n">
        <f aca="false">CEILING(($B$28+$B$29+$B$32+$B$33+$B$34)/($B$5/(1+$B$6)-$B$13*$B$14-$B$15*$B$16),1)</f>
        <v>14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9" t="s">
        <v>266</v>
      </c>
      <c r="B42" s="32" t="n">
        <f aca="false">$B$35/(1-$B$23)/$B$4*(1+$B$6)</f>
        <v>46.8514880952381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9" t="s">
        <v>267</v>
      </c>
      <c r="B43" s="32" t="n">
        <f aca="false">($B$27*(1-$B$23)-($B$29+$B$32+$B$33))/$B$4</f>
        <v>20.782196969697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false" outlineLevel="0" collapsed="false">
      <c r="A45" s="9" t="s">
        <v>268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false" outlineLevel="0" collapsed="false">
      <c r="A46" s="4" t="s">
        <v>269</v>
      </c>
      <c r="B46" s="4" t="s">
        <v>168</v>
      </c>
      <c r="C46" s="4" t="s">
        <v>270</v>
      </c>
      <c r="D46" s="4" t="s">
        <v>271</v>
      </c>
      <c r="E46" s="4" t="s">
        <v>272</v>
      </c>
      <c r="F46" s="4" t="s">
        <v>273</v>
      </c>
      <c r="G46" s="4" t="s">
        <v>274</v>
      </c>
      <c r="H46" s="4" t="s">
        <v>275</v>
      </c>
      <c r="I46" s="4" t="s">
        <v>276</v>
      </c>
      <c r="J46" s="4" t="s">
        <v>277</v>
      </c>
      <c r="K46" s="4" t="s">
        <v>278</v>
      </c>
      <c r="L46" s="4" t="s">
        <v>279</v>
      </c>
      <c r="M46" s="4" t="s">
        <v>280</v>
      </c>
      <c r="N46" s="4" t="s">
        <v>281</v>
      </c>
    </row>
    <row r="47" customFormat="false" ht="15" hidden="false" customHeight="false" outlineLevel="0" collapsed="false">
      <c r="A47" s="6" t="s">
        <v>282</v>
      </c>
      <c r="B47" s="14" t="n">
        <v>3</v>
      </c>
      <c r="C47" s="10" t="n">
        <v>37.5</v>
      </c>
      <c r="D47" s="14" t="n">
        <v>1</v>
      </c>
      <c r="E47" s="10" t="n">
        <v>3.75</v>
      </c>
      <c r="F47" s="14" t="n">
        <v>2</v>
      </c>
      <c r="G47" s="14" t="n">
        <v>1</v>
      </c>
      <c r="H47" s="14" t="n">
        <v>1</v>
      </c>
      <c r="I47" s="10" t="n">
        <v>49.5</v>
      </c>
      <c r="J47" s="17" t="n">
        <f aca="false">$B$4*I47/(1+$B$6)</f>
        <v>981.818181818182</v>
      </c>
      <c r="K47" s="17" t="n">
        <f aca="false">B47*$B$8*C47+$B$4*D47*E47+$B$4*$B$15*$B$16+IF(H47=1,0,$B$21*C47)+F47*$B$11*$B$12+$B$17+IF(G47=1,0,$B$18*$B$19)</f>
        <v>755.08</v>
      </c>
      <c r="L47" s="17" t="n">
        <f aca="false">J47-K47</f>
        <v>226.738181818182</v>
      </c>
      <c r="M47" s="35" t="n">
        <f aca="false">IF(J47&gt;0,L47/J47,0)</f>
        <v>0.230937037037037</v>
      </c>
      <c r="N47" s="17" t="n">
        <f aca="false">B47*$B$8*C47+$B$4*D47*E47+$B$4*$B$15*$B$16+IF(H47=1,0,$B$21*C47)</f>
        <v>409.08</v>
      </c>
    </row>
    <row r="48" customFormat="false" ht="15" hidden="false" customHeight="false" outlineLevel="0" collapsed="false">
      <c r="A48" s="6" t="s">
        <v>283</v>
      </c>
      <c r="B48" s="14" t="n">
        <v>6</v>
      </c>
      <c r="C48" s="10" t="n">
        <v>37.5</v>
      </c>
      <c r="D48" s="14" t="n">
        <v>4</v>
      </c>
      <c r="E48" s="10" t="n">
        <v>3.75</v>
      </c>
      <c r="F48" s="14" t="n">
        <v>1</v>
      </c>
      <c r="G48" s="14" t="n">
        <v>1</v>
      </c>
      <c r="H48" s="14" t="n">
        <v>1</v>
      </c>
      <c r="I48" s="10" t="n">
        <v>49.5</v>
      </c>
      <c r="J48" s="17" t="n">
        <f aca="false">$B$4*I48/(1+$B$6)</f>
        <v>981.818181818182</v>
      </c>
      <c r="K48" s="17" t="n">
        <f aca="false">B48*$B$8*C48+$B$4*D48*E48+$B$4*$B$15*$B$16+IF(H48=1,0,$B$21*C48)+F48*$B$11*$B$12+$B$17+IF(G48=1,0,$B$18*$B$19)</f>
        <v>1092.58</v>
      </c>
      <c r="L48" s="17" t="n">
        <f aca="false">J48-K48</f>
        <v>-110.761818181818</v>
      </c>
      <c r="M48" s="35" t="n">
        <f aca="false">IF(J48&gt;0,L48/J48,0)</f>
        <v>-0.112812962962963</v>
      </c>
      <c r="N48" s="17" t="n">
        <f aca="false">B48*$B$8*C48+$B$4*D48*E48+$B$4*$B$15*$B$16+IF(H48=1,0,$B$21*C48)</f>
        <v>904.08</v>
      </c>
    </row>
    <row r="49" customFormat="false" ht="15" hidden="false" customHeight="false" outlineLevel="0" collapsed="false">
      <c r="A49" s="6" t="s">
        <v>284</v>
      </c>
      <c r="B49" s="14" t="n">
        <v>6</v>
      </c>
      <c r="C49" s="10" t="n">
        <v>25</v>
      </c>
      <c r="D49" s="14" t="n">
        <v>4</v>
      </c>
      <c r="E49" s="10" t="n">
        <v>2.5</v>
      </c>
      <c r="F49" s="14" t="n">
        <v>1</v>
      </c>
      <c r="G49" s="14" t="n">
        <v>1</v>
      </c>
      <c r="H49" s="14" t="n">
        <v>1</v>
      </c>
      <c r="I49" s="10" t="n">
        <v>49.5</v>
      </c>
      <c r="J49" s="17" t="n">
        <f aca="false">$B$4*I49/(1+$B$6)</f>
        <v>981.818181818182</v>
      </c>
      <c r="K49" s="17" t="n">
        <f aca="false">B49*$B$8*C49+$B$4*D49*E49+$B$4*$B$15*$B$16+IF(H49=1,0,$B$21*C49)+F49*$B$11*$B$12+$B$17+IF(G49=1,0,$B$18*$B$19)</f>
        <v>822.58</v>
      </c>
      <c r="L49" s="17" t="n">
        <f aca="false">J49-K49</f>
        <v>159.238181818182</v>
      </c>
      <c r="M49" s="35" t="n">
        <f aca="false">IF(J49&gt;0,L49/J49,0)</f>
        <v>0.162187037037037</v>
      </c>
      <c r="N49" s="17" t="n">
        <f aca="false">B49*$B$8*C49+$B$4*D49*E49+$B$4*$B$15*$B$16+IF(H49=1,0,$B$21*C49)</f>
        <v>634.08</v>
      </c>
    </row>
    <row r="50" customFormat="false" ht="15" hidden="false" customHeight="false" outlineLevel="0" collapsed="false">
      <c r="A50" s="6" t="s">
        <v>285</v>
      </c>
      <c r="B50" s="14" t="n">
        <v>6</v>
      </c>
      <c r="C50" s="10" t="n">
        <v>20</v>
      </c>
      <c r="D50" s="14" t="n">
        <v>4</v>
      </c>
      <c r="E50" s="10" t="n">
        <v>2.5</v>
      </c>
      <c r="F50" s="14" t="n">
        <v>1</v>
      </c>
      <c r="G50" s="14" t="n">
        <v>1</v>
      </c>
      <c r="H50" s="14" t="n">
        <v>1</v>
      </c>
      <c r="I50" s="10" t="n">
        <v>49.5</v>
      </c>
      <c r="J50" s="17" t="n">
        <f aca="false">$B$4*I50/(1+$B$6)</f>
        <v>981.818181818182</v>
      </c>
      <c r="K50" s="17" t="n">
        <f aca="false">B50*$B$8*C50+$B$4*D50*E50+$B$4*$B$15*$B$16+IF(H50=1,0,$B$21*C50)+F50*$B$11*$B$12+$B$17+IF(G50=1,0,$B$18*$B$19)</f>
        <v>762.58</v>
      </c>
      <c r="L50" s="17" t="n">
        <f aca="false">J50-K50</f>
        <v>219.238181818182</v>
      </c>
      <c r="M50" s="35" t="n">
        <f aca="false">IF(J50&gt;0,L50/J50,0)</f>
        <v>0.223298148148148</v>
      </c>
      <c r="N50" s="17" t="n">
        <f aca="false">B50*$B$8*C50+$B$4*D50*E50+$B$4*$B$15*$B$16+IF(H50=1,0,$B$21*C50)</f>
        <v>574.08</v>
      </c>
    </row>
    <row r="51" customFormat="false" ht="15" hidden="false" customHeight="false" outlineLevel="0" collapsed="false">
      <c r="A51" s="6" t="s">
        <v>286</v>
      </c>
      <c r="B51" s="14" t="n">
        <v>6</v>
      </c>
      <c r="C51" s="10" t="n">
        <v>20</v>
      </c>
      <c r="D51" s="14" t="n">
        <v>4</v>
      </c>
      <c r="E51" s="10" t="n">
        <v>2.5</v>
      </c>
      <c r="F51" s="14" t="n">
        <v>1</v>
      </c>
      <c r="G51" s="14" t="n">
        <v>1</v>
      </c>
      <c r="H51" s="14" t="n">
        <v>1</v>
      </c>
      <c r="I51" s="10" t="n">
        <v>55</v>
      </c>
      <c r="J51" s="17" t="n">
        <f aca="false">$B$4*I51/(1+$B$6)</f>
        <v>1090.90909090909</v>
      </c>
      <c r="K51" s="17" t="n">
        <f aca="false">B51*$B$8*C51+$B$4*D51*E51+$B$4*$B$15*$B$16+IF(H51=1,0,$B$21*C51)+F51*$B$11*$B$12+$B$17+IF(G51=1,0,$B$18*$B$19)</f>
        <v>762.58</v>
      </c>
      <c r="L51" s="17" t="n">
        <f aca="false">J51-K51</f>
        <v>328.329090909091</v>
      </c>
      <c r="M51" s="35" t="n">
        <f aca="false">IF(J51&gt;0,L51/J51,0)</f>
        <v>0.300968333333333</v>
      </c>
      <c r="N51" s="17" t="n">
        <f aca="false">B51*$B$8*C51+$B$4*D51*E51+$B$4*$B$15*$B$16+IF(H51=1,0,$B$21*C51)</f>
        <v>574.08</v>
      </c>
    </row>
    <row r="52" customFormat="false" ht="15" hidden="false" customHeight="false" outlineLevel="0" collapsed="false">
      <c r="A52" s="6" t="s">
        <v>287</v>
      </c>
      <c r="B52" s="14" t="n">
        <v>6</v>
      </c>
      <c r="C52" s="10" t="n">
        <v>25</v>
      </c>
      <c r="D52" s="14" t="n">
        <v>4</v>
      </c>
      <c r="E52" s="10" t="n">
        <v>2.5</v>
      </c>
      <c r="F52" s="14" t="n">
        <v>1</v>
      </c>
      <c r="G52" s="14" t="n">
        <v>1</v>
      </c>
      <c r="H52" s="14" t="n">
        <v>1</v>
      </c>
      <c r="I52" s="10" t="n">
        <v>59.5</v>
      </c>
      <c r="J52" s="17" t="n">
        <f aca="false">$B$4*I52/(1+$B$6)</f>
        <v>1180.1652892562</v>
      </c>
      <c r="K52" s="17" t="n">
        <f aca="false">B52*$B$8*C52+$B$4*D52*E52+$B$4*$B$15*$B$16+IF(H52=1,0,$B$21*C52)+F52*$B$11*$B$12+$B$17+IF(G52=1,0,$B$18*$B$19)</f>
        <v>822.58</v>
      </c>
      <c r="L52" s="17" t="n">
        <f aca="false">J52-K52</f>
        <v>357.585289256198</v>
      </c>
      <c r="M52" s="35" t="n">
        <f aca="false">IF(J52&gt;0,L52/J52,0)</f>
        <v>0.30299593837535</v>
      </c>
      <c r="N52" s="17" t="n">
        <f aca="false">B52*$B$8*C52+$B$4*D52*E52+$B$4*$B$15*$B$16+IF(H52=1,0,$B$21*C52)</f>
        <v>634.08</v>
      </c>
    </row>
    <row r="53" customFormat="false" ht="15" hidden="false" customHeight="false" outlineLevel="0" collapsed="false">
      <c r="A53" s="6" t="s">
        <v>288</v>
      </c>
      <c r="B53" s="14" t="n">
        <v>6</v>
      </c>
      <c r="C53" s="10" t="n">
        <v>25</v>
      </c>
      <c r="D53" s="14" t="n">
        <v>2</v>
      </c>
      <c r="E53" s="10" t="n">
        <v>2.5</v>
      </c>
      <c r="F53" s="14" t="n">
        <v>1</v>
      </c>
      <c r="G53" s="14" t="n">
        <v>1</v>
      </c>
      <c r="H53" s="14" t="n">
        <v>1</v>
      </c>
      <c r="I53" s="10" t="n">
        <v>49.5</v>
      </c>
      <c r="J53" s="17" t="n">
        <f aca="false">$B$4*I53/(1+$B$6)</f>
        <v>981.818181818182</v>
      </c>
      <c r="K53" s="17" t="n">
        <f aca="false">B53*$B$8*C53+$B$4*D53*E53+$B$4*$B$15*$B$16+IF(H53=1,0,$B$21*C53)+F53*$B$11*$B$12+$B$17+IF(G53=1,0,$B$18*$B$19)</f>
        <v>702.58</v>
      </c>
      <c r="L53" s="17" t="n">
        <f aca="false">J53-K53</f>
        <v>279.238181818182</v>
      </c>
      <c r="M53" s="35" t="n">
        <f aca="false">IF(J53&gt;0,L53/J53,0)</f>
        <v>0.284409259259259</v>
      </c>
      <c r="N53" s="17" t="n">
        <f aca="false">B53*$B$8*C53+$B$4*D53*E53+$B$4*$B$15*$B$16+IF(H53=1,0,$B$21*C53)</f>
        <v>514.08</v>
      </c>
    </row>
    <row r="54" customFormat="false" ht="15" hidden="false" customHeight="false" outlineLevel="0" collapsed="false">
      <c r="A54" s="6" t="s">
        <v>289</v>
      </c>
      <c r="B54" s="14" t="n">
        <v>6</v>
      </c>
      <c r="C54" s="10" t="n">
        <v>20</v>
      </c>
      <c r="D54" s="14" t="n">
        <v>4</v>
      </c>
      <c r="E54" s="10" t="n">
        <v>2.5</v>
      </c>
      <c r="F54" s="14" t="n">
        <v>0</v>
      </c>
      <c r="G54" s="14" t="n">
        <v>1</v>
      </c>
      <c r="H54" s="14" t="n">
        <v>1</v>
      </c>
      <c r="I54" s="10" t="n">
        <v>49.5</v>
      </c>
      <c r="J54" s="17" t="n">
        <f aca="false">$B$4*I54/(1+$B$6)</f>
        <v>981.818181818182</v>
      </c>
      <c r="K54" s="17" t="n">
        <f aca="false">B54*$B$8*C54+$B$4*D54*E54+$B$4*$B$15*$B$16+IF(H54=1,0,$B$21*C54)+F54*$B$11*$B$12+$B$17+IF(G54=1,0,$B$18*$B$19)</f>
        <v>605.08</v>
      </c>
      <c r="L54" s="17" t="n">
        <f aca="false">J54-K54</f>
        <v>376.738181818182</v>
      </c>
      <c r="M54" s="35" t="n">
        <f aca="false">IF(J54&gt;0,L54/J54,0)</f>
        <v>0.383714814814815</v>
      </c>
      <c r="N54" s="17" t="n">
        <f aca="false">B54*$B$8*C54+$B$4*D54*E54+$B$4*$B$15*$B$16+IF(H54=1,0,$B$21*C54)</f>
        <v>574.08</v>
      </c>
    </row>
    <row r="55" customFormat="false" ht="15" hidden="false" customHeight="false" outlineLevel="0" collapsed="false">
      <c r="A55" s="6" t="s">
        <v>290</v>
      </c>
      <c r="B55" s="14" t="n">
        <v>6</v>
      </c>
      <c r="C55" s="10" t="n">
        <v>20</v>
      </c>
      <c r="D55" s="14" t="n">
        <v>4</v>
      </c>
      <c r="E55" s="10" t="n">
        <v>2.5</v>
      </c>
      <c r="F55" s="14" t="n">
        <v>1</v>
      </c>
      <c r="G55" s="14" t="n">
        <v>1</v>
      </c>
      <c r="H55" s="14" t="n">
        <v>0</v>
      </c>
      <c r="I55" s="10" t="n">
        <v>49.5</v>
      </c>
      <c r="J55" s="17" t="n">
        <f aca="false">$B$4*I55/(1+$B$6)</f>
        <v>981.818181818182</v>
      </c>
      <c r="K55" s="17" t="n">
        <f aca="false">B55*$B$8*C55+$B$4*D55*E55+$B$4*$B$15*$B$16+IF(H55=1,0,$B$21*C55)+F55*$B$11*$B$12+$B$17+IF(G55=1,0,$B$18*$B$19)</f>
        <v>762.58</v>
      </c>
      <c r="L55" s="17" t="n">
        <f aca="false">J55-K55</f>
        <v>219.238181818182</v>
      </c>
      <c r="M55" s="35" t="n">
        <f aca="false">IF(J55&gt;0,L55/J55,0)</f>
        <v>0.223298148148148</v>
      </c>
      <c r="N55" s="17" t="n">
        <f aca="false">B55*$B$8*C55+$B$4*D55*E55+$B$4*$B$15*$B$16+IF(H55=1,0,$B$21*C55)</f>
        <v>574.08</v>
      </c>
    </row>
    <row r="56" customFormat="false" ht="15" hidden="false" customHeight="false" outlineLevel="0" collapsed="false">
      <c r="A56" s="6" t="s">
        <v>291</v>
      </c>
      <c r="B56" s="14" t="n">
        <v>6</v>
      </c>
      <c r="C56" s="10" t="n">
        <v>20</v>
      </c>
      <c r="D56" s="14" t="n">
        <v>4</v>
      </c>
      <c r="E56" s="10" t="n">
        <v>2.5</v>
      </c>
      <c r="F56" s="14" t="n">
        <v>1</v>
      </c>
      <c r="G56" s="14" t="n">
        <v>0</v>
      </c>
      <c r="H56" s="14" t="n">
        <v>1</v>
      </c>
      <c r="I56" s="10" t="n">
        <v>49.5</v>
      </c>
      <c r="J56" s="17" t="n">
        <f aca="false">$B$4*I56/(1+$B$6)</f>
        <v>981.818181818182</v>
      </c>
      <c r="K56" s="17" t="n">
        <f aca="false">B56*$B$8*C56+$B$4*D56*E56+$B$4*$B$15*$B$16+IF(H56=1,0,$B$21*C56)+F56*$B$11*$B$12+$B$17+IF(G56=1,0,$B$18*$B$19)</f>
        <v>862.58</v>
      </c>
      <c r="L56" s="17" t="n">
        <f aca="false">J56-K56</f>
        <v>119.238181818182</v>
      </c>
      <c r="M56" s="35" t="n">
        <f aca="false">IF(J56&gt;0,L56/J56,0)</f>
        <v>0.121446296296296</v>
      </c>
      <c r="N56" s="17" t="n">
        <f aca="false">B56*$B$8*C56+$B$4*D56*E56+$B$4*$B$15*$B$16+IF(H56=1,0,$B$21*C56)</f>
        <v>574.08</v>
      </c>
    </row>
    <row r="57" customFormat="false" ht="15" hidden="false" customHeight="false" outlineLevel="0" collapsed="false">
      <c r="A57" s="6" t="s">
        <v>292</v>
      </c>
      <c r="B57" s="14" t="n">
        <v>6</v>
      </c>
      <c r="C57" s="10" t="n">
        <v>22.5</v>
      </c>
      <c r="D57" s="14" t="n">
        <v>1</v>
      </c>
      <c r="E57" s="10" t="n">
        <v>4.08</v>
      </c>
      <c r="F57" s="14" t="n">
        <v>1</v>
      </c>
      <c r="G57" s="14" t="n">
        <v>1</v>
      </c>
      <c r="H57" s="14" t="n">
        <v>1</v>
      </c>
      <c r="I57" s="10" t="n">
        <v>49.5</v>
      </c>
      <c r="J57" s="17" t="n">
        <f aca="false">$B$4*I57/(1+$B$6)</f>
        <v>981.818181818182</v>
      </c>
      <c r="K57" s="17" t="n">
        <f aca="false">B57*$B$8*C57+$B$4*D57*E57+$B$4*$B$15*$B$16+IF(H57=1,0,$B$21*C57)+F57*$B$11*$B$12+$B$17+IF(G57=1,0,$B$18*$B$19)</f>
        <v>650.5</v>
      </c>
      <c r="L57" s="17" t="n">
        <f aca="false">J57-K57</f>
        <v>331.318181818182</v>
      </c>
      <c r="M57" s="35" t="n">
        <f aca="false">IF(J57&gt;0,L57/J57,0)</f>
        <v>0.337453703703704</v>
      </c>
      <c r="N57" s="17" t="n">
        <f aca="false">B57*$B$8*C57+$B$4*D57*E57+$B$4*$B$15*$B$16+IF(H57=1,0,$B$21*C57)</f>
        <v>462</v>
      </c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false" outlineLevel="0" collapsed="false">
      <c r="A59" s="3" t="s">
        <v>293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false" outlineLevel="0" collapsed="false">
      <c r="A60" s="3" t="s">
        <v>294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customFormat="false" ht="15" hidden="false" customHeight="false" outlineLevel="0" collapsed="false">
      <c r="A61" s="3" t="s">
        <v>295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14" min="5" style="0" width="15"/>
  </cols>
  <sheetData>
    <row r="1" customFormat="false" ht="17.35" hidden="false" customHeight="false" outlineLevel="0" collapsed="false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19" t="s">
        <v>298</v>
      </c>
      <c r="B4" s="24" t="n">
        <v>32</v>
      </c>
      <c r="C4" s="19" t="s">
        <v>29</v>
      </c>
      <c r="D4" s="25" t="s">
        <v>299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19" t="s">
        <v>209</v>
      </c>
      <c r="B5" s="26" t="n">
        <v>39.5</v>
      </c>
      <c r="C5" s="19" t="s">
        <v>56</v>
      </c>
      <c r="D5" s="25" t="s">
        <v>300</v>
      </c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19" t="s">
        <v>211</v>
      </c>
      <c r="B6" s="27" t="n">
        <f aca="false">Inputs!$C$6</f>
        <v>0.21</v>
      </c>
      <c r="C6" s="19" t="s">
        <v>10</v>
      </c>
      <c r="D6" s="25" t="s">
        <v>212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19" t="s">
        <v>216</v>
      </c>
      <c r="B7" s="24" t="n">
        <v>1.5</v>
      </c>
      <c r="C7" s="19" t="s">
        <v>217</v>
      </c>
      <c r="D7" s="25" t="s">
        <v>301</v>
      </c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19" t="s">
        <v>219</v>
      </c>
      <c r="B8" s="28" t="n">
        <v>22.5</v>
      </c>
      <c r="C8" s="19" t="s">
        <v>20</v>
      </c>
      <c r="D8" s="25" t="s">
        <v>302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19" t="s">
        <v>303</v>
      </c>
      <c r="B9" s="24" t="n">
        <v>5</v>
      </c>
      <c r="C9" s="19" t="s">
        <v>217</v>
      </c>
      <c r="D9" s="25" t="s">
        <v>304</v>
      </c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19" t="s">
        <v>225</v>
      </c>
      <c r="B10" s="29" t="n">
        <f aca="false">Inputs!$C$13</f>
        <v>45</v>
      </c>
      <c r="C10" s="19" t="s">
        <v>20</v>
      </c>
      <c r="D10" s="25" t="s">
        <v>305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19" t="s">
        <v>306</v>
      </c>
      <c r="B11" s="28" t="n">
        <v>8</v>
      </c>
      <c r="C11" s="19" t="s">
        <v>56</v>
      </c>
      <c r="D11" s="25" t="s">
        <v>307</v>
      </c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false" outlineLevel="0" collapsed="false">
      <c r="A12" s="19" t="s">
        <v>256</v>
      </c>
      <c r="B12" s="26" t="n">
        <v>0</v>
      </c>
      <c r="C12" s="19" t="s">
        <v>56</v>
      </c>
      <c r="D12" s="25" t="s">
        <v>308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19" t="s">
        <v>309</v>
      </c>
      <c r="B13" s="20" t="n">
        <v>1</v>
      </c>
      <c r="C13" s="19" t="s">
        <v>187</v>
      </c>
      <c r="D13" s="25" t="s">
        <v>310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false" outlineLevel="0" collapsed="false">
      <c r="A14" s="19" t="s">
        <v>311</v>
      </c>
      <c r="B14" s="26" t="n">
        <v>420</v>
      </c>
      <c r="C14" s="19" t="s">
        <v>56</v>
      </c>
      <c r="D14" s="25" t="s">
        <v>312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false" outlineLevel="0" collapsed="false">
      <c r="A15" s="19" t="s">
        <v>247</v>
      </c>
      <c r="B15" s="30" t="n">
        <v>0.3</v>
      </c>
      <c r="C15" s="19" t="s">
        <v>10</v>
      </c>
      <c r="D15" s="25" t="s">
        <v>248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19" t="s">
        <v>313</v>
      </c>
      <c r="B16" s="26" t="n">
        <v>37.5</v>
      </c>
      <c r="C16" s="19" t="s">
        <v>20</v>
      </c>
      <c r="D16" s="25" t="s">
        <v>314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false" outlineLevel="0" collapsed="false">
      <c r="A17" s="19" t="s">
        <v>315</v>
      </c>
      <c r="B17" s="28" t="n">
        <v>15</v>
      </c>
      <c r="C17" s="19" t="s">
        <v>56</v>
      </c>
      <c r="D17" s="25" t="s">
        <v>316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19" t="s">
        <v>317</v>
      </c>
      <c r="B18" s="26" t="n">
        <v>85</v>
      </c>
      <c r="C18" s="19" t="s">
        <v>56</v>
      </c>
      <c r="D18" s="25" t="s">
        <v>318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9" t="s">
        <v>249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19" t="s">
        <v>319</v>
      </c>
      <c r="B21" s="34" t="n">
        <f aca="false">CEILING($B$4/4,1)</f>
        <v>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19" t="s">
        <v>250</v>
      </c>
      <c r="B22" s="31" t="n">
        <f aca="false">$B$4*$B$5</f>
        <v>1264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19" t="s">
        <v>251</v>
      </c>
      <c r="B23" s="31" t="n">
        <f aca="false">$B$4*$B$5/(1+$B$6)</f>
        <v>1044.62809917355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19" t="s">
        <v>252</v>
      </c>
      <c r="B24" s="31" t="n">
        <f aca="false">CEILING($B$4/4,1)*$B$7*$B$8</f>
        <v>270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false" outlineLevel="0" collapsed="false">
      <c r="A25" s="19" t="s">
        <v>320</v>
      </c>
      <c r="B25" s="31" t="n">
        <f aca="false">$B$4*$B$11</f>
        <v>256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19" t="s">
        <v>321</v>
      </c>
      <c r="B26" s="31" t="n">
        <f aca="false">$B$9*$B$10</f>
        <v>225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19" t="s">
        <v>256</v>
      </c>
      <c r="B27" s="31" t="n">
        <f aca="false">$B$12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19" t="s">
        <v>322</v>
      </c>
      <c r="B28" s="31" t="n">
        <f aca="false">IF($B$13=1,0,$B$14)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9" t="s">
        <v>259</v>
      </c>
      <c r="B29" s="32" t="n">
        <f aca="false">SUM(B24:B28)</f>
        <v>751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19" t="s">
        <v>260</v>
      </c>
      <c r="B30" s="31" t="n">
        <f aca="false">$B$29/$B$4</f>
        <v>23.46875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9" t="s">
        <v>261</v>
      </c>
      <c r="B31" s="32" t="n">
        <f aca="false">$B$23-$B$29</f>
        <v>293.628099173554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9" t="s">
        <v>262</v>
      </c>
      <c r="B32" s="33" t="n">
        <f aca="false">$B$31/$B$23</f>
        <v>0.281083860759494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9" t="s">
        <v>323</v>
      </c>
      <c r="B33" s="32" t="n">
        <f aca="false">$B$24+$B$25</f>
        <v>526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9" t="s">
        <v>266</v>
      </c>
      <c r="B34" s="32" t="n">
        <f aca="false">$B$29/(1-$B$15)/$B$4*(1+$B$6)</f>
        <v>40.5674107142857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9" t="s">
        <v>324</v>
      </c>
      <c r="B35" s="32" t="n">
        <f aca="false">($B$23*(1-$B$15)-$B$25-$B$26-$B$27-$B$28)/(CEILING($B$4/4,1)*$B$7)</f>
        <v>20.853305785124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19" t="s">
        <v>325</v>
      </c>
      <c r="B36" s="34" t="n">
        <f aca="false">CEILING(($B$26+$B$27+$B$28)/($B$5/(1+$B$6)-$B$11-$B$7*$B$8/4),1)</f>
        <v>14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9" t="s">
        <v>326</v>
      </c>
      <c r="B37" s="32" t="n">
        <f aca="false">$B$31+$B$26</f>
        <v>518.628099173554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19" t="s">
        <v>327</v>
      </c>
      <c r="B38" s="31" t="n">
        <f aca="false">$B$4*$B$17</f>
        <v>480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9" t="s">
        <v>328</v>
      </c>
      <c r="B39" s="32" t="n">
        <f aca="false">$B$33+$B$4*$B$17</f>
        <v>1006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9" t="s">
        <v>329</v>
      </c>
      <c r="B40" s="32" t="n">
        <f aca="false">$B$33+$B$4*$B$17-IF($B$13=1,$B$18,0)</f>
        <v>921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false" outlineLevel="0" collapsed="false">
      <c r="A41" s="19" t="s">
        <v>330</v>
      </c>
      <c r="B41" s="31" t="n">
        <f aca="false">CEILING($B$4/4,1)*$B$7*($B$16-$B$8)</f>
        <v>180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9" t="s">
        <v>331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false" outlineLevel="0" collapsed="false">
      <c r="A44" s="4" t="s">
        <v>332</v>
      </c>
      <c r="B44" s="4" t="s">
        <v>333</v>
      </c>
      <c r="C44" s="4" t="s">
        <v>168</v>
      </c>
      <c r="D44" s="4" t="s">
        <v>252</v>
      </c>
      <c r="E44" s="4" t="s">
        <v>334</v>
      </c>
      <c r="F44" s="4" t="s">
        <v>335</v>
      </c>
      <c r="G44" s="4" t="s">
        <v>336</v>
      </c>
      <c r="H44" s="4" t="s">
        <v>278</v>
      </c>
      <c r="I44" s="4" t="s">
        <v>277</v>
      </c>
      <c r="J44" s="4" t="s">
        <v>279</v>
      </c>
      <c r="K44" s="4" t="s">
        <v>280</v>
      </c>
      <c r="L44" s="4" t="s">
        <v>281</v>
      </c>
      <c r="M44" s="4" t="s">
        <v>337</v>
      </c>
      <c r="N44" s="4" t="s">
        <v>338</v>
      </c>
    </row>
    <row r="45" customFormat="false" ht="15" hidden="false" customHeight="false" outlineLevel="0" collapsed="false">
      <c r="A45" s="14" t="n">
        <v>16</v>
      </c>
      <c r="B45" s="18" t="n">
        <f aca="false">A45/4</f>
        <v>4</v>
      </c>
      <c r="C45" s="18" t="n">
        <f aca="false">CEILING(A45/4,1)</f>
        <v>4</v>
      </c>
      <c r="D45" s="17" t="n">
        <f aca="false">C45*$B$7*$B$8</f>
        <v>135</v>
      </c>
      <c r="E45" s="17" t="n">
        <f aca="false">A45*$B$11</f>
        <v>128</v>
      </c>
      <c r="F45" s="17" t="n">
        <f aca="false">$B$26</f>
        <v>225</v>
      </c>
      <c r="G45" s="17" t="n">
        <f aca="false">$B$27+$B$28</f>
        <v>0</v>
      </c>
      <c r="H45" s="17" t="n">
        <f aca="false">SUM(D45:G45)</f>
        <v>488</v>
      </c>
      <c r="I45" s="17" t="n">
        <f aca="false">A45*$B$5/(1+$B$6)</f>
        <v>522.314049586777</v>
      </c>
      <c r="J45" s="17" t="n">
        <f aca="false">I45-H45</f>
        <v>34.3140495867768</v>
      </c>
      <c r="K45" s="35" t="n">
        <f aca="false">IF(I45&gt;0,J45/I45,0)</f>
        <v>0.0656962025316455</v>
      </c>
      <c r="L45" s="17" t="n">
        <f aca="false">D45+E45</f>
        <v>263</v>
      </c>
      <c r="M45" s="17" t="n">
        <f aca="false">J45+F45</f>
        <v>259.314049586777</v>
      </c>
      <c r="N45" s="17" t="n">
        <f aca="false">L45+A45*$B$17</f>
        <v>503</v>
      </c>
    </row>
    <row r="46" customFormat="false" ht="15" hidden="false" customHeight="false" outlineLevel="0" collapsed="false">
      <c r="A46" s="14" t="n">
        <v>20</v>
      </c>
      <c r="B46" s="18" t="n">
        <f aca="false">A46/4</f>
        <v>5</v>
      </c>
      <c r="C46" s="18" t="n">
        <f aca="false">CEILING(A46/4,1)</f>
        <v>5</v>
      </c>
      <c r="D46" s="17" t="n">
        <f aca="false">C46*$B$7*$B$8</f>
        <v>168.75</v>
      </c>
      <c r="E46" s="17" t="n">
        <f aca="false">A46*$B$11</f>
        <v>160</v>
      </c>
      <c r="F46" s="17" t="n">
        <f aca="false">$B$26</f>
        <v>225</v>
      </c>
      <c r="G46" s="17" t="n">
        <f aca="false">$B$27+$B$28</f>
        <v>0</v>
      </c>
      <c r="H46" s="17" t="n">
        <f aca="false">SUM(D46:G46)</f>
        <v>553.75</v>
      </c>
      <c r="I46" s="17" t="n">
        <f aca="false">A46*$B$5/(1+$B$6)</f>
        <v>652.892561983471</v>
      </c>
      <c r="J46" s="17" t="n">
        <f aca="false">I46-H46</f>
        <v>99.1425619834711</v>
      </c>
      <c r="K46" s="35" t="n">
        <f aca="false">IF(I46&gt;0,J46/I46,0)</f>
        <v>0.151851265822785</v>
      </c>
      <c r="L46" s="17" t="n">
        <f aca="false">D46+E46</f>
        <v>328.75</v>
      </c>
      <c r="M46" s="17" t="n">
        <f aca="false">J46+F46</f>
        <v>324.142561983471</v>
      </c>
      <c r="N46" s="17" t="n">
        <f aca="false">L46+A46*$B$17</f>
        <v>628.75</v>
      </c>
    </row>
    <row r="47" customFormat="false" ht="15" hidden="false" customHeight="false" outlineLevel="0" collapsed="false">
      <c r="A47" s="14" t="n">
        <v>24</v>
      </c>
      <c r="B47" s="18" t="n">
        <f aca="false">A47/4</f>
        <v>6</v>
      </c>
      <c r="C47" s="18" t="n">
        <f aca="false">CEILING(A47/4,1)</f>
        <v>6</v>
      </c>
      <c r="D47" s="17" t="n">
        <f aca="false">C47*$B$7*$B$8</f>
        <v>202.5</v>
      </c>
      <c r="E47" s="17" t="n">
        <f aca="false">A47*$B$11</f>
        <v>192</v>
      </c>
      <c r="F47" s="17" t="n">
        <f aca="false">$B$26</f>
        <v>225</v>
      </c>
      <c r="G47" s="17" t="n">
        <f aca="false">$B$27+$B$28</f>
        <v>0</v>
      </c>
      <c r="H47" s="17" t="n">
        <f aca="false">SUM(D47:G47)</f>
        <v>619.5</v>
      </c>
      <c r="I47" s="17" t="n">
        <f aca="false">A47*$B$5/(1+$B$6)</f>
        <v>783.471074380165</v>
      </c>
      <c r="J47" s="17" t="n">
        <f aca="false">I47-H47</f>
        <v>163.971074380165</v>
      </c>
      <c r="K47" s="35" t="n">
        <f aca="false">IF(I47&gt;0,J47/I47,0)</f>
        <v>0.209287974683544</v>
      </c>
      <c r="L47" s="17" t="n">
        <f aca="false">D47+E47</f>
        <v>394.5</v>
      </c>
      <c r="M47" s="17" t="n">
        <f aca="false">J47+F47</f>
        <v>388.971074380165</v>
      </c>
      <c r="N47" s="17" t="n">
        <f aca="false">L47+A47*$B$17</f>
        <v>754.5</v>
      </c>
    </row>
    <row r="48" customFormat="false" ht="15" hidden="false" customHeight="false" outlineLevel="0" collapsed="false">
      <c r="A48" s="14" t="n">
        <v>28</v>
      </c>
      <c r="B48" s="18" t="n">
        <f aca="false">A48/4</f>
        <v>7</v>
      </c>
      <c r="C48" s="18" t="n">
        <f aca="false">CEILING(A48/4,1)</f>
        <v>7</v>
      </c>
      <c r="D48" s="17" t="n">
        <f aca="false">C48*$B$7*$B$8</f>
        <v>236.25</v>
      </c>
      <c r="E48" s="17" t="n">
        <f aca="false">A48*$B$11</f>
        <v>224</v>
      </c>
      <c r="F48" s="17" t="n">
        <f aca="false">$B$26</f>
        <v>225</v>
      </c>
      <c r="G48" s="17" t="n">
        <f aca="false">$B$27+$B$28</f>
        <v>0</v>
      </c>
      <c r="H48" s="17" t="n">
        <f aca="false">SUM(D48:G48)</f>
        <v>685.25</v>
      </c>
      <c r="I48" s="17" t="n">
        <f aca="false">A48*$B$5/(1+$B$6)</f>
        <v>914.04958677686</v>
      </c>
      <c r="J48" s="17" t="n">
        <f aca="false">I48-H48</f>
        <v>228.79958677686</v>
      </c>
      <c r="K48" s="35" t="n">
        <f aca="false">IF(I48&gt;0,J48/I48,0)</f>
        <v>0.250314195298373</v>
      </c>
      <c r="L48" s="17" t="n">
        <f aca="false">D48+E48</f>
        <v>460.25</v>
      </c>
      <c r="M48" s="17" t="n">
        <f aca="false">J48+F48</f>
        <v>453.79958677686</v>
      </c>
      <c r="N48" s="17" t="n">
        <f aca="false">L48+A48*$B$17</f>
        <v>880.25</v>
      </c>
    </row>
    <row r="49" customFormat="false" ht="15" hidden="false" customHeight="false" outlineLevel="0" collapsed="false">
      <c r="A49" s="14" t="n">
        <v>32</v>
      </c>
      <c r="B49" s="18" t="n">
        <f aca="false">A49/4</f>
        <v>8</v>
      </c>
      <c r="C49" s="18" t="n">
        <f aca="false">CEILING(A49/4,1)</f>
        <v>8</v>
      </c>
      <c r="D49" s="17" t="n">
        <f aca="false">C49*$B$7*$B$8</f>
        <v>270</v>
      </c>
      <c r="E49" s="17" t="n">
        <f aca="false">A49*$B$11</f>
        <v>256</v>
      </c>
      <c r="F49" s="17" t="n">
        <f aca="false">$B$26</f>
        <v>225</v>
      </c>
      <c r="G49" s="17" t="n">
        <f aca="false">$B$27+$B$28</f>
        <v>0</v>
      </c>
      <c r="H49" s="17" t="n">
        <f aca="false">SUM(D49:G49)</f>
        <v>751</v>
      </c>
      <c r="I49" s="17" t="n">
        <f aca="false">A49*$B$5/(1+$B$6)</f>
        <v>1044.62809917355</v>
      </c>
      <c r="J49" s="17" t="n">
        <f aca="false">I49-H49</f>
        <v>293.628099173554</v>
      </c>
      <c r="K49" s="35" t="n">
        <f aca="false">IF(I49&gt;0,J49/I49,0)</f>
        <v>0.281083860759494</v>
      </c>
      <c r="L49" s="17" t="n">
        <f aca="false">D49+E49</f>
        <v>526</v>
      </c>
      <c r="M49" s="17" t="n">
        <f aca="false">J49+F49</f>
        <v>518.628099173554</v>
      </c>
      <c r="N49" s="17" t="n">
        <f aca="false">L49+A49*$B$17</f>
        <v>1006</v>
      </c>
    </row>
    <row r="50" customFormat="false" ht="15" hidden="false" customHeight="false" outlineLevel="0" collapsed="false">
      <c r="A50" s="14" t="n">
        <v>36</v>
      </c>
      <c r="B50" s="18" t="n">
        <f aca="false">A50/4</f>
        <v>9</v>
      </c>
      <c r="C50" s="18" t="n">
        <f aca="false">CEILING(A50/4,1)</f>
        <v>9</v>
      </c>
      <c r="D50" s="17" t="n">
        <f aca="false">C50*$B$7*$B$8</f>
        <v>303.75</v>
      </c>
      <c r="E50" s="17" t="n">
        <f aca="false">A50*$B$11</f>
        <v>288</v>
      </c>
      <c r="F50" s="17" t="n">
        <f aca="false">$B$26</f>
        <v>225</v>
      </c>
      <c r="G50" s="17" t="n">
        <f aca="false">$B$27+$B$28</f>
        <v>0</v>
      </c>
      <c r="H50" s="17" t="n">
        <f aca="false">SUM(D50:G50)</f>
        <v>816.75</v>
      </c>
      <c r="I50" s="17" t="n">
        <f aca="false">A50*$B$5/(1+$B$6)</f>
        <v>1175.20661157025</v>
      </c>
      <c r="J50" s="17" t="n">
        <f aca="false">I50-H50</f>
        <v>358.456611570248</v>
      </c>
      <c r="K50" s="35" t="n">
        <f aca="false">IF(I50&gt;0,J50/I50,0)</f>
        <v>0.30501582278481</v>
      </c>
      <c r="L50" s="17" t="n">
        <f aca="false">D50+E50</f>
        <v>591.75</v>
      </c>
      <c r="M50" s="17" t="n">
        <f aca="false">J50+F50</f>
        <v>583.456611570248</v>
      </c>
      <c r="N50" s="17" t="n">
        <f aca="false">L50+A50*$B$17</f>
        <v>1131.75</v>
      </c>
    </row>
    <row r="51" customFormat="false" ht="15" hidden="false" customHeight="false" outlineLevel="0" collapsed="false">
      <c r="A51" s="14" t="n">
        <v>40</v>
      </c>
      <c r="B51" s="18" t="n">
        <f aca="false">A51/4</f>
        <v>10</v>
      </c>
      <c r="C51" s="18" t="n">
        <f aca="false">CEILING(A51/4,1)</f>
        <v>10</v>
      </c>
      <c r="D51" s="17" t="n">
        <f aca="false">C51*$B$7*$B$8</f>
        <v>337.5</v>
      </c>
      <c r="E51" s="17" t="n">
        <f aca="false">A51*$B$11</f>
        <v>320</v>
      </c>
      <c r="F51" s="17" t="n">
        <f aca="false">$B$26</f>
        <v>225</v>
      </c>
      <c r="G51" s="17" t="n">
        <f aca="false">$B$27+$B$28</f>
        <v>0</v>
      </c>
      <c r="H51" s="17" t="n">
        <f aca="false">SUM(D51:G51)</f>
        <v>882.5</v>
      </c>
      <c r="I51" s="17" t="n">
        <f aca="false">A51*$B$5/(1+$B$6)</f>
        <v>1305.78512396694</v>
      </c>
      <c r="J51" s="17" t="n">
        <f aca="false">I51-H51</f>
        <v>423.285123966942</v>
      </c>
      <c r="K51" s="35" t="n">
        <f aca="false">IF(I51&gt;0,J51/I51,0)</f>
        <v>0.324161392405063</v>
      </c>
      <c r="L51" s="17" t="n">
        <f aca="false">D51+E51</f>
        <v>657.5</v>
      </c>
      <c r="M51" s="17" t="n">
        <f aca="false">J51+F51</f>
        <v>648.285123966942</v>
      </c>
      <c r="N51" s="17" t="n">
        <f aca="false">L51+A51*$B$17</f>
        <v>1257.5</v>
      </c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false" outlineLevel="0" collapsed="false">
      <c r="A53" s="3" t="s">
        <v>339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false" outlineLevel="0" collapsed="false">
      <c r="A54" s="3" t="s">
        <v>340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false" outlineLevel="0" collapsed="false">
      <c r="A55" s="3" t="s">
        <v>341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9" t="s">
        <v>342</v>
      </c>
      <c r="B1" s="19" t="s">
        <v>343</v>
      </c>
    </row>
    <row r="2" customFormat="false" ht="15" hidden="false" customHeight="false" outlineLevel="0" collapsed="false">
      <c r="A2" s="9" t="s">
        <v>344</v>
      </c>
      <c r="B2" s="19" t="s">
        <v>345</v>
      </c>
    </row>
    <row r="3" customFormat="false" ht="15" hidden="false" customHeight="false" outlineLevel="0" collapsed="false">
      <c r="A3" s="9" t="s">
        <v>346</v>
      </c>
      <c r="B3" s="19" t="s">
        <v>347</v>
      </c>
    </row>
    <row r="4" customFormat="false" ht="15" hidden="false" customHeight="false" outlineLevel="0" collapsed="false">
      <c r="A4" s="9" t="s">
        <v>348</v>
      </c>
      <c r="B4" s="19" t="s">
        <v>349</v>
      </c>
    </row>
    <row r="5" customFormat="false" ht="15" hidden="false" customHeight="false" outlineLevel="0" collapsed="false">
      <c r="A5" s="9" t="s">
        <v>350</v>
      </c>
      <c r="B5" s="19" t="s">
        <v>351</v>
      </c>
    </row>
    <row r="6" customFormat="false" ht="15" hidden="false" customHeight="false" outlineLevel="0" collapsed="false">
      <c r="A6" s="9" t="s">
        <v>352</v>
      </c>
      <c r="B6" s="19" t="s">
        <v>353</v>
      </c>
    </row>
    <row r="7" customFormat="false" ht="15" hidden="false" customHeight="false" outlineLevel="0" collapsed="false">
      <c r="A7" s="9" t="s">
        <v>354</v>
      </c>
      <c r="B7" s="19" t="s">
        <v>355</v>
      </c>
    </row>
    <row r="8" customFormat="false" ht="15" hidden="false" customHeight="false" outlineLevel="0" collapsed="false">
      <c r="A8" s="9" t="s">
        <v>356</v>
      </c>
      <c r="B8" s="19" t="s">
        <v>357</v>
      </c>
    </row>
    <row r="9" customFormat="false" ht="15" hidden="false" customHeight="false" outlineLevel="0" collapsed="false">
      <c r="A9" s="9" t="s">
        <v>211</v>
      </c>
      <c r="B9" s="19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2026-09-20T18:59:46Z</dcterms:created>
  <dc:creator>openpyxl</dc:creator>
  <dc:description/>
  <dc:language>en-US</dc:language>
  <cp:lastModifiedBy/>
  <dcterms:modified xsi:type="dcterms:W3CDTF">2026-09-20T18:59:46Z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